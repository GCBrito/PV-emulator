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ME Solar MESM-50W\Single-diode model\STC\"/>
    </mc:Choice>
  </mc:AlternateContent>
  <xr:revisionPtr revIDLastSave="0" documentId="13_ncr:1_{D2177F75-04CA-4C2F-82F0-A3CBD6927615}" xr6:coauthVersionLast="47" xr6:coauthVersionMax="47" xr10:uidLastSave="{00000000-0000-0000-0000-000000000000}"/>
  <bookViews>
    <workbookView xWindow="20370" yWindow="-120" windowWidth="29040" windowHeight="1572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2" i="1"/>
  <c r="G15" i="1"/>
  <c r="G13" i="1"/>
  <c r="C17" i="1"/>
  <c r="F17" i="1"/>
  <c r="G17" i="1"/>
  <c r="L17" i="1"/>
  <c r="C18" i="1"/>
  <c r="F18" i="1"/>
  <c r="G18" i="1"/>
  <c r="L18" i="1"/>
  <c r="L16" i="1"/>
  <c r="G16" i="1"/>
  <c r="F16" i="1"/>
  <c r="C16" i="1"/>
  <c r="G12" i="1"/>
  <c r="L9" i="1"/>
  <c r="G9" i="1"/>
  <c r="F9" i="1"/>
  <c r="C9" i="1"/>
  <c r="L6" i="1"/>
  <c r="G6" i="1"/>
  <c r="F6" i="1"/>
  <c r="C6" i="1"/>
  <c r="L2" i="1"/>
  <c r="G2" i="1"/>
  <c r="F2" i="1"/>
  <c r="C2" i="1"/>
  <c r="C3" i="1"/>
  <c r="L3" i="1"/>
  <c r="G3" i="1"/>
  <c r="F3" i="1"/>
  <c r="L5" i="1"/>
  <c r="L7" i="1"/>
  <c r="L8" i="1"/>
  <c r="L10" i="1"/>
  <c r="L11" i="1"/>
  <c r="L12" i="1"/>
  <c r="L13" i="1"/>
  <c r="L14" i="1"/>
  <c r="L15" i="1"/>
  <c r="L4" i="1"/>
  <c r="C15" i="1"/>
  <c r="F15" i="1"/>
  <c r="G14" i="1"/>
  <c r="F14" i="1"/>
  <c r="C14" i="1"/>
  <c r="G4" i="1"/>
  <c r="F4" i="1"/>
  <c r="C4" i="1"/>
  <c r="F5" i="1"/>
  <c r="G5" i="1"/>
  <c r="F7" i="1"/>
  <c r="G7" i="1"/>
  <c r="F8" i="1"/>
  <c r="G8" i="1"/>
  <c r="F10" i="1"/>
  <c r="G10" i="1"/>
  <c r="F11" i="1"/>
  <c r="G11" i="1"/>
  <c r="F12" i="1"/>
  <c r="F13" i="1"/>
  <c r="C7" i="1"/>
  <c r="C5" i="1"/>
  <c r="C8" i="1"/>
  <c r="C11" i="1"/>
  <c r="C12" i="1"/>
  <c r="C10" i="1"/>
  <c r="C13" i="1"/>
  <c r="O18" i="1" l="1"/>
  <c r="P18" i="1"/>
  <c r="O17" i="1"/>
  <c r="P17" i="1"/>
  <c r="O6" i="1"/>
  <c r="O9" i="1"/>
  <c r="P9" i="1"/>
  <c r="P6" i="1"/>
  <c r="O16" i="1"/>
  <c r="P16" i="1"/>
  <c r="O15" i="1"/>
  <c r="O2" i="1"/>
  <c r="P2" i="1"/>
  <c r="O3" i="1"/>
  <c r="P3" i="1"/>
  <c r="P14" i="1"/>
  <c r="P15" i="1"/>
  <c r="O14" i="1"/>
  <c r="O4" i="1"/>
  <c r="P4" i="1"/>
  <c r="P7" i="1"/>
  <c r="O7" i="1"/>
  <c r="O5" i="1"/>
  <c r="P5" i="1"/>
  <c r="O8" i="1"/>
  <c r="P8" i="1"/>
  <c r="P10" i="1"/>
  <c r="O11" i="1"/>
  <c r="P11" i="1"/>
  <c r="O12" i="1"/>
  <c r="P12" i="1"/>
  <c r="O10" i="1"/>
  <c r="P13" i="1"/>
  <c r="O1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<sst xmlns="http://schemas.openxmlformats.org/spreadsheetml/2006/main" count="16" uniqueCount="16">
  <si>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</si>
  <si>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</si>
  <si>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</si>
  <si>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</si>
  <si>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</si>
  <si>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</si>
  <si>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</si>
  <si>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</si>
  <si>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</si>
  <si>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</si>
  <si>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</si>
  <si>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</si>
  <si>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</si>
  <si>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</si>
  <si>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Vs Error (%)</t>
  </si>
  <si>
    <t>Is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</si>
</sst>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18"/>
  <sheetViews>
    <sheetView tabSelected="1" zoomScale="160" zoomScaleNormal="160" workbookViewId="0">
      <selection activeCell="H18" sqref="H18:L18"/>
    </sheetView>
  </sheetViews>
  <sheetFormatPr defaultColWidth="9.140625" defaultRowHeight="15" x14ac:dyDescent="0.25"/>
  <cols>
    <col min="5" max="5" width="8.5703125" customWidth="1"/>
  </cols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0.35</v>
      </c>
      <c r="C2">
        <f>A2*B2</f>
        <v>21</v>
      </c>
      <c r="D2">
        <v>5.24</v>
      </c>
      <c r="E2">
        <v>2.65</v>
      </c>
      <c r="F2">
        <f>D2*E2</f>
        <v>13.885999999999999</v>
      </c>
      <c r="G2">
        <f>D2/E2</f>
        <v>1.977358490566038</v>
      </c>
      <c r="H2">
        <v>22.232299999999999</v>
      </c>
      <c r="I2">
        <v>12.606372</v>
      </c>
      <c r="J2">
        <v>5.3356130000000004</v>
      </c>
      <c r="K2">
        <v>3.0254509999999999</v>
      </c>
      <c r="L2">
        <f>J2/K2</f>
        <v>1.7635760751041747</v>
      </c>
      <c r="M2">
        <f>ABS(J2-D2)/D2*100</f>
        <v>1.8246755725190873</v>
      </c>
      <c r="N2">
        <f>ABS(K2-E2)/E2*100</f>
        <v>14.167962264150944</v>
      </c>
      <c r="O2">
        <f t="shared" ref="O2:O19" si="0">(ABS(L2-G2)/G2)*100</f>
        <v>10.811515285762169</v>
      </c>
      <c r="P2">
        <f t="shared" ref="P2:P19" si="1">(F2/C2)*100</f>
        <v>66.123809523809513</v>
      </c>
    </row>
    <row r="3" spans="1:16" x14ac:dyDescent="0.25">
      <c r="A3">
        <v>60</v>
      </c>
      <c r="B3">
        <v>0.66</v>
      </c>
      <c r="C3">
        <f>A3*B3</f>
        <v>39.6</v>
      </c>
      <c r="D3">
        <v>11.05</v>
      </c>
      <c r="E3">
        <v>2.91</v>
      </c>
      <c r="F3">
        <f>D3*E3</f>
        <v>32.155500000000004</v>
      </c>
      <c r="G3">
        <f>D3/E3</f>
        <v>3.7972508591065295</v>
      </c>
      <c r="H3">
        <v>22.522175000000001</v>
      </c>
      <c r="I3">
        <v>6.0083599999999997</v>
      </c>
      <c r="J3">
        <v>11.316692</v>
      </c>
      <c r="K3">
        <v>3.0190139999999999</v>
      </c>
      <c r="L3">
        <f>J3/K3</f>
        <v>3.7484728457701753</v>
      </c>
      <c r="M3">
        <f t="shared" ref="M3:M19" si="2">ABS(J3-D3)/D3*100</f>
        <v>2.4135022624434304</v>
      </c>
      <c r="N3">
        <f t="shared" ref="N3:N19" si="3">ABS(K3-E3)/E3*100</f>
        <v>3.7461855670102997</v>
      </c>
      <c r="O3">
        <f t="shared" si="0"/>
        <v>1.2845612561881521</v>
      </c>
      <c r="P3">
        <f t="shared" si="1"/>
        <v>81.200757575757592</v>
      </c>
    </row>
    <row r="4" spans="1:16" x14ac:dyDescent="0.25">
      <c r="A4">
        <v>60</v>
      </c>
      <c r="B4">
        <v>0.76</v>
      </c>
      <c r="C4">
        <f t="shared" ref="C4:C16" si="4">A2*B4</f>
        <v>45.6</v>
      </c>
      <c r="D4">
        <v>12.82</v>
      </c>
      <c r="E4">
        <v>2.94</v>
      </c>
      <c r="F4">
        <f>D4*E4</f>
        <v>37.690800000000003</v>
      </c>
      <c r="G4">
        <f>D4/E4</f>
        <v>4.3605442176870746</v>
      </c>
      <c r="H4">
        <v>22.522625000000001</v>
      </c>
      <c r="I4">
        <v>5.1916390000000003</v>
      </c>
      <c r="J4">
        <v>13.071528000000001</v>
      </c>
      <c r="K4">
        <v>3.0130880000000002</v>
      </c>
      <c r="L4">
        <f>J4/K4</f>
        <v>4.3382496628044054</v>
      </c>
      <c r="M4">
        <f t="shared" si="2"/>
        <v>1.9619968798751983</v>
      </c>
      <c r="N4">
        <f t="shared" si="3"/>
        <v>2.4859863945578322</v>
      </c>
      <c r="O4">
        <f t="shared" si="0"/>
        <v>0.5112791837367191</v>
      </c>
      <c r="P4">
        <f t="shared" si="1"/>
        <v>82.655263157894737</v>
      </c>
    </row>
    <row r="5" spans="1:16" x14ac:dyDescent="0.25">
      <c r="A5">
        <v>60</v>
      </c>
      <c r="B5">
        <v>0.8</v>
      </c>
      <c r="C5">
        <f t="shared" si="4"/>
        <v>48</v>
      </c>
      <c r="D5">
        <v>14.22</v>
      </c>
      <c r="E5" s="3">
        <v>2.91</v>
      </c>
      <c r="F5">
        <f>D5*E5</f>
        <v>41.380200000000002</v>
      </c>
      <c r="G5">
        <f>D5/E5</f>
        <v>4.8865979381443303</v>
      </c>
      <c r="H5">
        <v>22.232430000000001</v>
      </c>
      <c r="I5">
        <v>4.6329209999999996</v>
      </c>
      <c r="J5">
        <v>14.413589999999999</v>
      </c>
      <c r="K5">
        <v>3.003587</v>
      </c>
      <c r="L5">
        <f t="shared" ref="L5:L15" si="5">J5/K5</f>
        <v>4.7987922440735025</v>
      </c>
      <c r="M5">
        <f t="shared" si="2"/>
        <v>1.3613924050632811</v>
      </c>
      <c r="N5">
        <f t="shared" si="3"/>
        <v>3.2160481099656311</v>
      </c>
      <c r="O5">
        <f t="shared" si="0"/>
        <v>1.7968675790865609</v>
      </c>
      <c r="P5">
        <f t="shared" si="1"/>
        <v>86.208749999999995</v>
      </c>
    </row>
    <row r="6" spans="1:16" x14ac:dyDescent="0.25">
      <c r="A6">
        <v>60</v>
      </c>
      <c r="B6">
        <v>0.85</v>
      </c>
      <c r="C6">
        <f t="shared" si="4"/>
        <v>51</v>
      </c>
      <c r="D6">
        <v>14.88</v>
      </c>
      <c r="E6" s="3">
        <v>2.94</v>
      </c>
      <c r="F6">
        <f>D6*E6</f>
        <v>43.747199999999999</v>
      </c>
      <c r="G6">
        <f>D6/E6</f>
        <v>5.0612244897959187</v>
      </c>
      <c r="H6">
        <v>22.233393</v>
      </c>
      <c r="I6">
        <v>4.4106209999999999</v>
      </c>
      <c r="J6">
        <v>15.08972</v>
      </c>
      <c r="K6">
        <v>2.9934720000000001</v>
      </c>
      <c r="L6">
        <f t="shared" ref="L6" si="6">J6/K6</f>
        <v>5.0408756119983744</v>
      </c>
      <c r="M6">
        <f t="shared" si="2"/>
        <v>1.409408602150531</v>
      </c>
      <c r="N6">
        <f t="shared" si="3"/>
        <v>1.8187755102040879</v>
      </c>
      <c r="O6">
        <f t="shared" si="0"/>
        <v>0.40205444035470472</v>
      </c>
      <c r="P6">
        <f t="shared" si="1"/>
        <v>85.778823529411767</v>
      </c>
    </row>
    <row r="7" spans="1:16" x14ac:dyDescent="0.25">
      <c r="A7">
        <v>60</v>
      </c>
      <c r="B7">
        <v>0.89</v>
      </c>
      <c r="C7">
        <f t="shared" si="4"/>
        <v>53.4</v>
      </c>
      <c r="D7">
        <v>15.6</v>
      </c>
      <c r="E7">
        <v>2.96</v>
      </c>
      <c r="F7">
        <f t="shared" ref="F7" si="7">D7*E7</f>
        <v>46.176000000000002</v>
      </c>
      <c r="G7">
        <f t="shared" ref="G7" si="8">D7/E7</f>
        <v>5.2702702702702702</v>
      </c>
      <c r="H7">
        <v>22.233898</v>
      </c>
      <c r="I7">
        <v>4.1848780000000003</v>
      </c>
      <c r="J7">
        <v>15.801759000000001</v>
      </c>
      <c r="K7">
        <v>2.9742169999999999</v>
      </c>
      <c r="L7">
        <f t="shared" si="5"/>
        <v>5.3129139534875902</v>
      </c>
      <c r="M7">
        <f t="shared" si="2"/>
        <v>1.2933269230769291</v>
      </c>
      <c r="N7">
        <f t="shared" si="3"/>
        <v>0.48030405405405147</v>
      </c>
      <c r="O7">
        <f t="shared" si="0"/>
        <v>0.8091365533542777</v>
      </c>
      <c r="P7">
        <f t="shared" si="1"/>
        <v>86.471910112359552</v>
      </c>
    </row>
    <row r="8" spans="1:16" x14ac:dyDescent="0.25">
      <c r="A8">
        <v>60</v>
      </c>
      <c r="B8">
        <v>0.92</v>
      </c>
      <c r="C8">
        <f t="shared" si="4"/>
        <v>55.2</v>
      </c>
      <c r="D8">
        <v>16.350000000000001</v>
      </c>
      <c r="E8">
        <v>2.92</v>
      </c>
      <c r="F8">
        <f>D8*E8</f>
        <v>47.742000000000004</v>
      </c>
      <c r="G8">
        <f t="shared" ref="G8:G12" si="9">D8/E8</f>
        <v>5.5993150684931514</v>
      </c>
      <c r="H8">
        <v>22.234446999999999</v>
      </c>
      <c r="I8">
        <v>3.957017</v>
      </c>
      <c r="J8">
        <v>16.524055000000001</v>
      </c>
      <c r="K8">
        <v>2.9407510000000001</v>
      </c>
      <c r="L8">
        <f t="shared" si="5"/>
        <v>5.618991543316656</v>
      </c>
      <c r="M8">
        <f t="shared" si="2"/>
        <v>1.0645565749235424</v>
      </c>
      <c r="N8">
        <f t="shared" si="3"/>
        <v>0.71065068493151329</v>
      </c>
      <c r="O8">
        <f t="shared" si="0"/>
        <v>0.35140860235249699</v>
      </c>
      <c r="P8">
        <f t="shared" si="1"/>
        <v>86.489130434782609</v>
      </c>
    </row>
    <row r="9" spans="1:16" x14ac:dyDescent="0.25">
      <c r="A9">
        <v>60</v>
      </c>
      <c r="B9">
        <v>0.93</v>
      </c>
      <c r="C9">
        <f t="shared" si="4"/>
        <v>55.800000000000004</v>
      </c>
      <c r="D9">
        <v>16.829999999999998</v>
      </c>
      <c r="E9">
        <v>2.87</v>
      </c>
      <c r="F9">
        <f>D9*E9</f>
        <v>48.302099999999996</v>
      </c>
      <c r="G9">
        <f t="shared" ref="G9" si="10">D9/E9</f>
        <v>5.8641114982578388</v>
      </c>
      <c r="H9">
        <v>22.234411000000001</v>
      </c>
      <c r="I9">
        <v>3.798619</v>
      </c>
      <c r="J9">
        <v>17.004604</v>
      </c>
      <c r="K9">
        <v>2.9051369999999999</v>
      </c>
      <c r="L9">
        <f t="shared" ref="L9" si="11">J9/K9</f>
        <v>5.8532881581832461</v>
      </c>
      <c r="M9">
        <f t="shared" si="2"/>
        <v>1.0374569221628178</v>
      </c>
      <c r="N9">
        <f t="shared" si="3"/>
        <v>1.2242857142857055</v>
      </c>
      <c r="O9">
        <f t="shared" si="0"/>
        <v>0.18456913852692308</v>
      </c>
      <c r="P9">
        <f t="shared" si="1"/>
        <v>86.562903225806437</v>
      </c>
    </row>
    <row r="10" spans="1:16" x14ac:dyDescent="0.25">
      <c r="A10">
        <v>60</v>
      </c>
      <c r="B10">
        <v>0.94</v>
      </c>
      <c r="C10">
        <f t="shared" si="4"/>
        <v>56.4</v>
      </c>
      <c r="D10">
        <v>17.48</v>
      </c>
      <c r="E10">
        <v>2.79</v>
      </c>
      <c r="F10">
        <f>D10*E10</f>
        <v>48.769200000000005</v>
      </c>
      <c r="G10">
        <f>D10/E10</f>
        <v>6.2652329749103943</v>
      </c>
      <c r="H10">
        <v>22.232758</v>
      </c>
      <c r="I10">
        <v>3.5702880000000001</v>
      </c>
      <c r="J10">
        <v>17.643136999999999</v>
      </c>
      <c r="K10">
        <v>2.8332549999999999</v>
      </c>
      <c r="L10">
        <f t="shared" si="5"/>
        <v>6.2271616921173703</v>
      </c>
      <c r="M10">
        <f t="shared" si="2"/>
        <v>0.93327803203660742</v>
      </c>
      <c r="N10">
        <f t="shared" si="3"/>
        <v>1.5503584229390617</v>
      </c>
      <c r="O10">
        <f t="shared" si="0"/>
        <v>0.6076594908039884</v>
      </c>
      <c r="P10">
        <f t="shared" si="1"/>
        <v>86.470212765957456</v>
      </c>
    </row>
    <row r="11" spans="1:16" x14ac:dyDescent="0.25">
      <c r="A11">
        <v>60</v>
      </c>
      <c r="B11">
        <v>0.95</v>
      </c>
      <c r="C11">
        <f t="shared" si="4"/>
        <v>57</v>
      </c>
      <c r="D11">
        <v>17.89</v>
      </c>
      <c r="E11">
        <v>2.77</v>
      </c>
      <c r="F11">
        <f>D11*E11</f>
        <v>49.555300000000003</v>
      </c>
      <c r="G11">
        <f t="shared" si="9"/>
        <v>6.4584837545126357</v>
      </c>
      <c r="H11">
        <v>22.234034999999999</v>
      </c>
      <c r="I11">
        <v>3.4134669999999998</v>
      </c>
      <c r="J11">
        <v>18.036154</v>
      </c>
      <c r="K11">
        <v>2.7689900000000001</v>
      </c>
      <c r="L11">
        <f t="shared" si="5"/>
        <v>6.513621934351514</v>
      </c>
      <c r="M11">
        <f t="shared" si="2"/>
        <v>0.81695919508104653</v>
      </c>
      <c r="N11">
        <f t="shared" si="3"/>
        <v>3.6462093862814272E-2</v>
      </c>
      <c r="O11">
        <f t="shared" si="0"/>
        <v>0.85373257771768052</v>
      </c>
      <c r="P11">
        <f t="shared" si="1"/>
        <v>86.93912280701754</v>
      </c>
    </row>
    <row r="12" spans="1:16" x14ac:dyDescent="0.25">
      <c r="A12">
        <v>60</v>
      </c>
      <c r="B12">
        <v>0.92</v>
      </c>
      <c r="C12">
        <f t="shared" si="4"/>
        <v>55.2</v>
      </c>
      <c r="D12">
        <v>18.34</v>
      </c>
      <c r="E12">
        <v>2.6</v>
      </c>
      <c r="F12">
        <f>D12*E12</f>
        <v>47.684000000000005</v>
      </c>
      <c r="G12">
        <f t="shared" si="9"/>
        <v>7.0538461538461537</v>
      </c>
      <c r="H12">
        <v>22.234131000000001</v>
      </c>
      <c r="I12">
        <v>3.2217530000000001</v>
      </c>
      <c r="J12">
        <v>18.466652</v>
      </c>
      <c r="K12">
        <v>2.6758410000000001</v>
      </c>
      <c r="L12">
        <f t="shared" si="5"/>
        <v>6.9012516065042728</v>
      </c>
      <c r="M12">
        <f t="shared" si="2"/>
        <v>0.69057797164667378</v>
      </c>
      <c r="N12">
        <f t="shared" si="3"/>
        <v>2.9169615384615399</v>
      </c>
      <c r="O12">
        <f t="shared" si="0"/>
        <v>2.1632814781291723</v>
      </c>
      <c r="P12">
        <f t="shared" si="1"/>
        <v>86.384057971014499</v>
      </c>
    </row>
    <row r="13" spans="1:16" x14ac:dyDescent="0.25">
      <c r="A13">
        <v>60</v>
      </c>
      <c r="B13">
        <v>0.89</v>
      </c>
      <c r="C13">
        <f t="shared" si="4"/>
        <v>53.4</v>
      </c>
      <c r="D13">
        <v>18.87</v>
      </c>
      <c r="E13">
        <v>2.46</v>
      </c>
      <c r="F13">
        <f t="shared" ref="F13:F14" si="12">D13*E13</f>
        <v>46.420200000000001</v>
      </c>
      <c r="G13">
        <f>D13/E13</f>
        <v>7.6707317073170733</v>
      </c>
      <c r="H13">
        <v>22.234027999999999</v>
      </c>
      <c r="I13">
        <v>2.954685</v>
      </c>
      <c r="J13">
        <v>18.971692999999998</v>
      </c>
      <c r="K13">
        <v>2.521153</v>
      </c>
      <c r="L13">
        <f t="shared" si="5"/>
        <v>7.5250066140373066</v>
      </c>
      <c r="M13">
        <f t="shared" si="2"/>
        <v>0.53891361950184091</v>
      </c>
      <c r="N13">
        <f t="shared" si="3"/>
        <v>2.4858943089430903</v>
      </c>
      <c r="O13">
        <f t="shared" si="0"/>
        <v>1.8997547931543508</v>
      </c>
      <c r="P13">
        <f t="shared" si="1"/>
        <v>86.929213483146071</v>
      </c>
    </row>
    <row r="14" spans="1:16" x14ac:dyDescent="0.25">
      <c r="A14">
        <v>60</v>
      </c>
      <c r="B14">
        <v>0.84</v>
      </c>
      <c r="C14">
        <f t="shared" si="4"/>
        <v>50.4</v>
      </c>
      <c r="D14">
        <v>19.399999999999999</v>
      </c>
      <c r="E14">
        <v>2.2400000000000002</v>
      </c>
      <c r="F14">
        <f t="shared" si="12"/>
        <v>43.456000000000003</v>
      </c>
      <c r="G14">
        <f>D14/E14</f>
        <v>8.6607142857142847</v>
      </c>
      <c r="H14">
        <v>22.233418</v>
      </c>
      <c r="I14">
        <v>2.640574</v>
      </c>
      <c r="J14">
        <v>19.479301</v>
      </c>
      <c r="K14">
        <v>2.3134790000000001</v>
      </c>
      <c r="L14">
        <f t="shared" si="5"/>
        <v>8.4199169303028025</v>
      </c>
      <c r="M14">
        <f t="shared" si="2"/>
        <v>0.40876804123711841</v>
      </c>
      <c r="N14">
        <f t="shared" si="3"/>
        <v>3.2803124999999933</v>
      </c>
      <c r="O14">
        <f t="shared" si="0"/>
        <v>2.780340598565568</v>
      </c>
      <c r="P14">
        <f t="shared" si="1"/>
        <v>86.222222222222229</v>
      </c>
    </row>
    <row r="15" spans="1:16" x14ac:dyDescent="0.25">
      <c r="A15">
        <v>60</v>
      </c>
      <c r="B15">
        <v>0.77</v>
      </c>
      <c r="C15">
        <f t="shared" si="4"/>
        <v>46.2</v>
      </c>
      <c r="D15">
        <v>19.899999999999999</v>
      </c>
      <c r="E15">
        <v>2</v>
      </c>
      <c r="F15">
        <f t="shared" ref="F15" si="13">D15*E15</f>
        <v>39.799999999999997</v>
      </c>
      <c r="G15">
        <f>D15/E15</f>
        <v>9.9499999999999993</v>
      </c>
      <c r="H15">
        <v>22.234269999999999</v>
      </c>
      <c r="I15">
        <v>2.3238029999999998</v>
      </c>
      <c r="J15">
        <v>19.947374</v>
      </c>
      <c r="K15">
        <v>2.0847899999999999</v>
      </c>
      <c r="L15">
        <f t="shared" si="5"/>
        <v>9.5680495397617982</v>
      </c>
      <c r="M15">
        <f t="shared" si="2"/>
        <v>0.23806030150754454</v>
      </c>
      <c r="N15">
        <f t="shared" si="3"/>
        <v>4.239499999999996</v>
      </c>
      <c r="O15">
        <f t="shared" si="0"/>
        <v>3.8386980928462426</v>
      </c>
      <c r="P15">
        <f t="shared" si="1"/>
        <v>86.147186147186133</v>
      </c>
    </row>
    <row r="16" spans="1:16" x14ac:dyDescent="0.25">
      <c r="A16">
        <v>60</v>
      </c>
      <c r="B16">
        <v>0.62</v>
      </c>
      <c r="C16">
        <f t="shared" si="4"/>
        <v>37.200000000000003</v>
      </c>
      <c r="D16">
        <v>20.41</v>
      </c>
      <c r="E16">
        <v>1.53</v>
      </c>
      <c r="F16">
        <f>D16*E16</f>
        <v>31.2273</v>
      </c>
      <c r="G16">
        <f t="shared" ref="G16:G19" si="14">D16/E16</f>
        <v>13.339869281045752</v>
      </c>
      <c r="H16">
        <v>22.239457999999999</v>
      </c>
      <c r="I16">
        <v>1.8241270000000001</v>
      </c>
      <c r="J16">
        <v>20.410786000000002</v>
      </c>
      <c r="K16">
        <v>1.6741349999999999</v>
      </c>
      <c r="L16">
        <f t="shared" ref="L16:L19" si="15">J16/K16</f>
        <v>12.191839965116316</v>
      </c>
      <c r="M16">
        <f t="shared" si="2"/>
        <v>3.8510534052009194E-3</v>
      </c>
      <c r="N16">
        <f t="shared" si="3"/>
        <v>9.4205882352941117</v>
      </c>
      <c r="O16">
        <f t="shared" si="0"/>
        <v>8.6060012414112581</v>
      </c>
      <c r="P16">
        <f t="shared" si="1"/>
        <v>83.944354838709671</v>
      </c>
    </row>
    <row r="17" spans="1:16" x14ac:dyDescent="0.25">
      <c r="A17">
        <v>60</v>
      </c>
      <c r="B17">
        <v>0.3</v>
      </c>
      <c r="C17">
        <f t="shared" ref="C17:C19" si="16">A15*B17</f>
        <v>18</v>
      </c>
      <c r="D17">
        <v>21.43</v>
      </c>
      <c r="E17">
        <v>0.6</v>
      </c>
      <c r="F17">
        <f t="shared" ref="F17:F19" si="17">D17*E17</f>
        <v>12.857999999999999</v>
      </c>
      <c r="G17">
        <f t="shared" si="14"/>
        <v>35.716666666666669</v>
      </c>
      <c r="H17">
        <v>22.253723000000001</v>
      </c>
      <c r="I17">
        <v>0.89309799999999995</v>
      </c>
      <c r="J17">
        <v>21.333824</v>
      </c>
      <c r="K17">
        <v>0.85618099999999997</v>
      </c>
      <c r="L17">
        <f t="shared" si="15"/>
        <v>24.917422834657625</v>
      </c>
      <c r="M17">
        <f t="shared" si="2"/>
        <v>0.44879141390573879</v>
      </c>
      <c r="N17">
        <f t="shared" si="3"/>
        <v>42.696833333333331</v>
      </c>
      <c r="O17">
        <f t="shared" si="0"/>
        <v>30.235867005158312</v>
      </c>
      <c r="P17">
        <f t="shared" si="1"/>
        <v>71.433333333333323</v>
      </c>
    </row>
    <row r="18" spans="1:16" x14ac:dyDescent="0.25">
      <c r="A18">
        <v>60</v>
      </c>
      <c r="B18">
        <v>0.12</v>
      </c>
      <c r="C18">
        <f t="shared" si="16"/>
        <v>7.1999999999999993</v>
      </c>
      <c r="D18">
        <v>22.09</v>
      </c>
      <c r="E18">
        <v>0.05</v>
      </c>
      <c r="F18">
        <f t="shared" si="17"/>
        <v>1.1045</v>
      </c>
      <c r="G18">
        <f t="shared" si="14"/>
        <v>441.79999999999995</v>
      </c>
      <c r="H18">
        <v>22.262160999999999</v>
      </c>
      <c r="I18">
        <v>0.32815</v>
      </c>
      <c r="J18">
        <v>21.935129</v>
      </c>
      <c r="K18">
        <v>0.32333000000000001</v>
      </c>
      <c r="L18">
        <f t="shared" si="15"/>
        <v>67.841304549531444</v>
      </c>
      <c r="M18">
        <f t="shared" si="2"/>
        <v>0.70109099139882292</v>
      </c>
      <c r="N18">
        <f t="shared" si="3"/>
        <v>546.66</v>
      </c>
      <c r="O18">
        <f t="shared" si="0"/>
        <v>84.644340301147253</v>
      </c>
      <c r="P18">
        <f t="shared" si="1"/>
        <v>15.34027777777778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2026-01-28T17:13:54Z</dcterms:modified>
</cp:coreProperties>
</file>