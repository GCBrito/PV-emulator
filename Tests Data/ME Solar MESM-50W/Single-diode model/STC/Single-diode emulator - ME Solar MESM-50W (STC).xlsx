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ME Solar MESM-50W\Single-diode model\STC\"/>
    </mc:Choice>
  </mc:AlternateContent>
  <xr:revisionPtr revIDLastSave="0" documentId="13_ncr:1_{793CF1AE-E50F-4B9A-8404-64E4D7900FE5}" xr6:coauthVersionLast="47" xr6:coauthVersionMax="47" xr10:uidLastSave="{00000000-0000-0000-0000-000000000000}"/>
  <bookViews>
    <workbookView xWindow="20370" yWindow="-120" windowWidth="29040" windowHeight="15720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F19" i="1"/>
  <c r="P19" i="1" s="1"/>
  <c r="G19" i="1"/>
  <c r="L19" i="1"/>
  <c r="M19" i="1"/>
  <c r="N19" i="1"/>
  <c r="C20" i="1"/>
  <c r="P20" i="1" s="1"/>
  <c r="F20" i="1"/>
  <c r="G20" i="1"/>
  <c r="L20" i="1"/>
  <c r="M20" i="1"/>
  <c r="N20" i="1"/>
  <c r="O20" i="1"/>
  <c r="C21" i="1"/>
  <c r="F21" i="1"/>
  <c r="G21" i="1"/>
  <c r="O21" i="1" s="1"/>
  <c r="L21" i="1"/>
  <c r="M21" i="1"/>
  <c r="N2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2" i="1"/>
  <c r="G15" i="1"/>
  <c r="G13" i="1"/>
  <c r="C17" i="1"/>
  <c r="F17" i="1"/>
  <c r="G17" i="1"/>
  <c r="L17" i="1"/>
  <c r="C18" i="1"/>
  <c r="F18" i="1"/>
  <c r="G18" i="1"/>
  <c r="L18" i="1"/>
  <c r="L16" i="1"/>
  <c r="G16" i="1"/>
  <c r="F16" i="1"/>
  <c r="C16" i="1"/>
  <c r="G12" i="1"/>
  <c r="L9" i="1"/>
  <c r="G9" i="1"/>
  <c r="F9" i="1"/>
  <c r="C9" i="1"/>
  <c r="L6" i="1"/>
  <c r="G6" i="1"/>
  <c r="F6" i="1"/>
  <c r="C6" i="1"/>
  <c r="L2" i="1"/>
  <c r="G2" i="1"/>
  <c r="F2" i="1"/>
  <c r="C2" i="1"/>
  <c r="C3" i="1"/>
  <c r="L3" i="1"/>
  <c r="G3" i="1"/>
  <c r="F3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P21" i="1" l="1"/>
  <c r="O19" i="1"/>
  <c r="O18" i="1"/>
  <c r="P18" i="1"/>
  <c r="O17" i="1"/>
  <c r="P17" i="1"/>
  <c r="O6" i="1"/>
  <c r="O9" i="1"/>
  <c r="P9" i="1"/>
  <c r="P6" i="1"/>
  <c r="O16" i="1"/>
  <c r="P16" i="1"/>
  <c r="O15" i="1"/>
  <c r="O2" i="1"/>
  <c r="P2" i="1"/>
  <c r="O3" i="1"/>
  <c r="P3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<sst xmlns="http://schemas.openxmlformats.org/spreadsheetml/2006/main" count="16" uniqueCount="16">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</sst>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21"/>
  <sheetViews>
    <sheetView tabSelected="1" zoomScaleNormal="100" workbookViewId="0">
      <selection activeCell="T15" sqref="T15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0.39</v>
      </c>
      <c r="C2">
        <f>A2*B2</f>
        <v>23.400000000000002</v>
      </c>
      <c r="D2">
        <v>5.9</v>
      </c>
      <c r="E2">
        <v>2.75</v>
      </c>
      <c r="F2">
        <f>D2*E2</f>
        <v>16.225000000000001</v>
      </c>
      <c r="G2">
        <f>D2/E2</f>
        <v>2.1454545454545455</v>
      </c>
      <c r="H2">
        <v>23.415051999999999</v>
      </c>
      <c r="I2">
        <v>11.967575</v>
      </c>
      <c r="J2">
        <v>5.9220829999999998</v>
      </c>
      <c r="K2">
        <v>3.0268130000000002</v>
      </c>
      <c r="L2">
        <f>J2/K2</f>
        <v>1.9565407575558844</v>
      </c>
      <c r="M2">
        <f>ABS(J2-D2)/D2*100</f>
        <v>0.37428813559321028</v>
      </c>
      <c r="N2">
        <f>ABS(K2-E2)/E2*100</f>
        <v>10.065927272727281</v>
      </c>
      <c r="O2">
        <f t="shared" ref="O2:O18" si="0">(ABS(L2-G2)/G2)*100</f>
        <v>8.8053036732426779</v>
      </c>
      <c r="P2">
        <f t="shared" ref="P2:P18" si="1">(F2/C2)*100</f>
        <v>69.337606837606842</v>
      </c>
    </row>
    <row r="3" spans="1:16" x14ac:dyDescent="0.25">
      <c r="A3">
        <v>60</v>
      </c>
      <c r="B3">
        <v>0.7</v>
      </c>
      <c r="C3">
        <f>A3*B3</f>
        <v>42</v>
      </c>
      <c r="D3">
        <v>12.29</v>
      </c>
      <c r="E3">
        <v>2.87</v>
      </c>
      <c r="F3">
        <f>D3*E3</f>
        <v>35.272300000000001</v>
      </c>
      <c r="G3">
        <f>D3/E3</f>
        <v>4.2822299651567937</v>
      </c>
      <c r="H3">
        <v>23.112964999999999</v>
      </c>
      <c r="I3">
        <v>5.5605909999999996</v>
      </c>
      <c r="J3">
        <v>12.551384000000001</v>
      </c>
      <c r="K3">
        <v>3.0196519999999998</v>
      </c>
      <c r="L3">
        <f>J3/K3</f>
        <v>4.1565663857954496</v>
      </c>
      <c r="M3">
        <f t="shared" ref="M3:M18" si="2">ABS(J3-D3)/D3*100</f>
        <v>2.1268022782750315</v>
      </c>
      <c r="N3">
        <f t="shared" ref="N3:N18" si="3">ABS(K3-E3)/E3*100</f>
        <v>5.2143554006968529</v>
      </c>
      <c r="O3">
        <f t="shared" si="0"/>
        <v>2.9345359867132434</v>
      </c>
      <c r="P3">
        <f t="shared" si="1"/>
        <v>83.981666666666669</v>
      </c>
    </row>
    <row r="4" spans="1:16" x14ac:dyDescent="0.25">
      <c r="A4">
        <v>60</v>
      </c>
      <c r="B4">
        <v>0.79</v>
      </c>
      <c r="C4">
        <f t="shared" ref="C4:C16" si="4">A2*B4</f>
        <v>47.400000000000006</v>
      </c>
      <c r="D4">
        <v>13.63</v>
      </c>
      <c r="E4">
        <v>2.97</v>
      </c>
      <c r="F4">
        <f>D4*E4</f>
        <v>40.481100000000005</v>
      </c>
      <c r="G4">
        <f>D4/E4</f>
        <v>4.5892255892255891</v>
      </c>
      <c r="H4">
        <v>23.116061999999999</v>
      </c>
      <c r="I4">
        <v>5.0300029999999998</v>
      </c>
      <c r="J4">
        <v>13.841137</v>
      </c>
      <c r="K4">
        <v>3.0118</v>
      </c>
      <c r="L4">
        <f>J4/K4</f>
        <v>4.5956361644199477</v>
      </c>
      <c r="M4">
        <f t="shared" si="2"/>
        <v>1.5490608950843654</v>
      </c>
      <c r="N4">
        <f t="shared" si="3"/>
        <v>1.4074074074074019</v>
      </c>
      <c r="O4">
        <f t="shared" si="0"/>
        <v>0.13968751524024273</v>
      </c>
      <c r="P4">
        <f t="shared" si="1"/>
        <v>85.403164556962025</v>
      </c>
    </row>
    <row r="5" spans="1:16" x14ac:dyDescent="0.25">
      <c r="A5">
        <v>60</v>
      </c>
      <c r="B5">
        <v>0.86</v>
      </c>
      <c r="C5">
        <f t="shared" si="4"/>
        <v>51.6</v>
      </c>
      <c r="D5">
        <v>14.89</v>
      </c>
      <c r="E5" s="3">
        <v>2.99</v>
      </c>
      <c r="F5">
        <f>D5*E5</f>
        <v>44.521100000000004</v>
      </c>
      <c r="G5">
        <f>D5/E5</f>
        <v>4.9799331103678925</v>
      </c>
      <c r="H5">
        <v>23.115746999999999</v>
      </c>
      <c r="I5">
        <v>4.5780700000000003</v>
      </c>
      <c r="J5">
        <v>15.125275</v>
      </c>
      <c r="K5">
        <v>2.9955579999999999</v>
      </c>
      <c r="L5">
        <f t="shared" ref="L5:L15" si="5">J5/K5</f>
        <v>5.0492345666483507</v>
      </c>
      <c r="M5">
        <f t="shared" si="2"/>
        <v>1.580087306917392</v>
      </c>
      <c r="N5">
        <f t="shared" si="3"/>
        <v>0.18588628762540901</v>
      </c>
      <c r="O5">
        <f t="shared" si="0"/>
        <v>1.3916141993188036</v>
      </c>
      <c r="P5">
        <f t="shared" si="1"/>
        <v>86.281201550387593</v>
      </c>
    </row>
    <row r="6" spans="1:16" x14ac:dyDescent="0.25">
      <c r="A6">
        <v>60</v>
      </c>
      <c r="B6">
        <v>0.88</v>
      </c>
      <c r="C6">
        <f t="shared" si="4"/>
        <v>52.8</v>
      </c>
      <c r="D6">
        <v>15.35</v>
      </c>
      <c r="E6" s="3">
        <v>2.95</v>
      </c>
      <c r="F6">
        <f>D6*E6</f>
        <v>45.282499999999999</v>
      </c>
      <c r="G6">
        <f>D6/E6</f>
        <v>5.203389830508474</v>
      </c>
      <c r="H6">
        <v>23.115691999999999</v>
      </c>
      <c r="I6">
        <v>4.4394140000000002</v>
      </c>
      <c r="J6">
        <v>15.540461000000001</v>
      </c>
      <c r="K6">
        <v>2.9845760000000001</v>
      </c>
      <c r="L6">
        <f t="shared" ref="L6" si="6">J6/K6</f>
        <v>5.206924199618304</v>
      </c>
      <c r="M6">
        <f t="shared" si="2"/>
        <v>1.2407882736156408</v>
      </c>
      <c r="N6">
        <f t="shared" si="3"/>
        <v>1.1720677966101674</v>
      </c>
      <c r="O6">
        <f t="shared" si="0"/>
        <v>6.7924357485331488E-2</v>
      </c>
      <c r="P6">
        <f t="shared" si="1"/>
        <v>85.762310606060609</v>
      </c>
    </row>
    <row r="7" spans="1:16" x14ac:dyDescent="0.25">
      <c r="A7">
        <v>60</v>
      </c>
      <c r="B7">
        <v>0.88</v>
      </c>
      <c r="C7">
        <f t="shared" si="4"/>
        <v>52.8</v>
      </c>
      <c r="D7">
        <v>15.77</v>
      </c>
      <c r="E7">
        <v>2.9</v>
      </c>
      <c r="F7">
        <f t="shared" ref="F7" si="7">D7*E7</f>
        <v>45.732999999999997</v>
      </c>
      <c r="G7">
        <f t="shared" ref="G7" si="8">D7/E7</f>
        <v>5.4379310344827587</v>
      </c>
      <c r="H7">
        <v>23.114132000000001</v>
      </c>
      <c r="I7">
        <v>4.2911780000000004</v>
      </c>
      <c r="J7">
        <v>15.992637999999999</v>
      </c>
      <c r="K7">
        <v>2.9690599999999998</v>
      </c>
      <c r="L7">
        <f t="shared" si="5"/>
        <v>5.3864313957953023</v>
      </c>
      <c r="M7">
        <f t="shared" si="2"/>
        <v>1.4117818642993019</v>
      </c>
      <c r="N7">
        <f t="shared" si="3"/>
        <v>2.3813793103448244</v>
      </c>
      <c r="O7">
        <f t="shared" si="0"/>
        <v>0.9470447190464405</v>
      </c>
      <c r="P7">
        <f t="shared" si="1"/>
        <v>86.615530303030297</v>
      </c>
    </row>
    <row r="8" spans="1:16" x14ac:dyDescent="0.25">
      <c r="A8">
        <v>60</v>
      </c>
      <c r="B8">
        <v>0.9</v>
      </c>
      <c r="C8">
        <f t="shared" si="4"/>
        <v>54</v>
      </c>
      <c r="D8">
        <v>16.149999999999999</v>
      </c>
      <c r="E8">
        <v>2.89</v>
      </c>
      <c r="F8">
        <f>D8*E8</f>
        <v>46.673499999999997</v>
      </c>
      <c r="G8">
        <f t="shared" ref="G8:G12" si="9">D8/E8</f>
        <v>5.5882352941176467</v>
      </c>
      <c r="H8">
        <v>23.116523999999998</v>
      </c>
      <c r="I8">
        <v>4.1714029999999998</v>
      </c>
      <c r="J8">
        <v>16.356770999999998</v>
      </c>
      <c r="K8">
        <v>2.9515980000000002</v>
      </c>
      <c r="L8">
        <f t="shared" si="5"/>
        <v>5.5416662431672599</v>
      </c>
      <c r="M8">
        <f t="shared" si="2"/>
        <v>1.2803157894736832</v>
      </c>
      <c r="N8">
        <f t="shared" si="3"/>
        <v>2.1314186851211088</v>
      </c>
      <c r="O8">
        <f t="shared" si="0"/>
        <v>0.83334091174376534</v>
      </c>
      <c r="P8">
        <f t="shared" si="1"/>
        <v>86.432407407407396</v>
      </c>
    </row>
    <row r="9" spans="1:16" x14ac:dyDescent="0.25">
      <c r="A9">
        <v>60</v>
      </c>
      <c r="B9">
        <v>0.92</v>
      </c>
      <c r="C9">
        <f t="shared" si="4"/>
        <v>55.2</v>
      </c>
      <c r="D9">
        <v>16.5</v>
      </c>
      <c r="E9">
        <v>2.9</v>
      </c>
      <c r="F9">
        <f>D9*E9</f>
        <v>47.85</v>
      </c>
      <c r="G9">
        <f t="shared" ref="G9" si="10">D9/E9</f>
        <v>5.6896551724137936</v>
      </c>
      <c r="H9">
        <v>23.114021000000001</v>
      </c>
      <c r="I9">
        <v>4.0502200000000004</v>
      </c>
      <c r="J9">
        <v>16.715565000000002</v>
      </c>
      <c r="K9">
        <v>2.9290319999999999</v>
      </c>
      <c r="L9">
        <f t="shared" ref="L9" si="11">J9/K9</f>
        <v>5.7068563948772164</v>
      </c>
      <c r="M9">
        <f t="shared" si="2"/>
        <v>1.3064545454545549</v>
      </c>
      <c r="N9">
        <f t="shared" si="3"/>
        <v>1.0011034482758603</v>
      </c>
      <c r="O9">
        <f t="shared" si="0"/>
        <v>0.3023245160237949</v>
      </c>
      <c r="P9">
        <f t="shared" si="1"/>
        <v>86.684782608695656</v>
      </c>
    </row>
    <row r="10" spans="1:16" x14ac:dyDescent="0.25">
      <c r="A10">
        <v>60</v>
      </c>
      <c r="B10">
        <v>0.92</v>
      </c>
      <c r="C10">
        <f t="shared" si="4"/>
        <v>55.2</v>
      </c>
      <c r="D10">
        <v>16.82</v>
      </c>
      <c r="E10">
        <v>2.87</v>
      </c>
      <c r="F10">
        <f>D10*E10</f>
        <v>48.273400000000002</v>
      </c>
      <c r="G10">
        <f>D10/E10</f>
        <v>5.8606271777003487</v>
      </c>
      <c r="H10">
        <v>23.115362000000001</v>
      </c>
      <c r="I10">
        <v>3.948944</v>
      </c>
      <c r="J10">
        <v>17.007088</v>
      </c>
      <c r="K10">
        <v>2.9054289999999998</v>
      </c>
      <c r="L10">
        <f t="shared" si="5"/>
        <v>5.8535548450848394</v>
      </c>
      <c r="M10">
        <f t="shared" si="2"/>
        <v>1.1122948870392346</v>
      </c>
      <c r="N10">
        <f t="shared" si="3"/>
        <v>1.2344599303135786</v>
      </c>
      <c r="O10">
        <f t="shared" si="0"/>
        <v>0.12067535437878572</v>
      </c>
      <c r="P10">
        <f t="shared" si="1"/>
        <v>87.451811594202894</v>
      </c>
    </row>
    <row r="11" spans="1:16" x14ac:dyDescent="0.25">
      <c r="A11">
        <v>60</v>
      </c>
      <c r="B11">
        <v>0.92</v>
      </c>
      <c r="C11">
        <f t="shared" si="4"/>
        <v>55.2</v>
      </c>
      <c r="D11">
        <v>17.25</v>
      </c>
      <c r="E11">
        <v>2.82</v>
      </c>
      <c r="F11">
        <f>D11*E11</f>
        <v>48.644999999999996</v>
      </c>
      <c r="G11">
        <f t="shared" si="9"/>
        <v>6.1170212765957448</v>
      </c>
      <c r="H11">
        <v>23.114917999999999</v>
      </c>
      <c r="I11">
        <v>3.7989389999999998</v>
      </c>
      <c r="J11">
        <v>17.418226000000001</v>
      </c>
      <c r="K11">
        <v>2.8626870000000002</v>
      </c>
      <c r="L11">
        <f t="shared" si="5"/>
        <v>6.0845722916965768</v>
      </c>
      <c r="M11">
        <f t="shared" si="2"/>
        <v>0.97522318840580091</v>
      </c>
      <c r="N11">
        <f t="shared" si="3"/>
        <v>1.513723404255332</v>
      </c>
      <c r="O11">
        <f t="shared" si="0"/>
        <v>0.53047036182987739</v>
      </c>
      <c r="P11">
        <f t="shared" si="1"/>
        <v>88.124999999999986</v>
      </c>
    </row>
    <row r="12" spans="1:16" x14ac:dyDescent="0.25">
      <c r="A12">
        <v>60</v>
      </c>
      <c r="B12">
        <v>0.93</v>
      </c>
      <c r="C12">
        <f t="shared" si="4"/>
        <v>55.800000000000004</v>
      </c>
      <c r="D12">
        <v>17.63</v>
      </c>
      <c r="E12">
        <v>2.78</v>
      </c>
      <c r="F12">
        <f>D12*E12</f>
        <v>49.011399999999995</v>
      </c>
      <c r="G12">
        <f t="shared" si="9"/>
        <v>6.3417266187050361</v>
      </c>
      <c r="H12">
        <v>23.114498000000001</v>
      </c>
      <c r="I12">
        <v>3.65326</v>
      </c>
      <c r="J12">
        <v>17.789234</v>
      </c>
      <c r="K12">
        <v>2.8115990000000002</v>
      </c>
      <c r="L12">
        <f t="shared" si="5"/>
        <v>6.3270878955356009</v>
      </c>
      <c r="M12">
        <f t="shared" si="2"/>
        <v>0.90319909245604912</v>
      </c>
      <c r="N12">
        <f t="shared" si="3"/>
        <v>1.1366546762590064</v>
      </c>
      <c r="O12">
        <f t="shared" si="0"/>
        <v>0.2308318230914902</v>
      </c>
      <c r="P12">
        <f t="shared" si="1"/>
        <v>87.834050179211459</v>
      </c>
    </row>
    <row r="13" spans="1:16" x14ac:dyDescent="0.25">
      <c r="A13">
        <v>60</v>
      </c>
      <c r="B13">
        <v>0.91</v>
      </c>
      <c r="C13">
        <f t="shared" si="4"/>
        <v>54.6</v>
      </c>
      <c r="D13">
        <v>18</v>
      </c>
      <c r="E13">
        <v>2.67</v>
      </c>
      <c r="F13">
        <f t="shared" ref="F13:F14" si="12">D13*E13</f>
        <v>48.06</v>
      </c>
      <c r="G13">
        <f>D13/E13</f>
        <v>6.7415730337078656</v>
      </c>
      <c r="H13">
        <v>23.114141</v>
      </c>
      <c r="I13">
        <v>3.5038309999999999</v>
      </c>
      <c r="J13">
        <v>18.138688999999999</v>
      </c>
      <c r="K13">
        <v>2.7496109999999998</v>
      </c>
      <c r="L13">
        <f t="shared" si="5"/>
        <v>6.5968200592738393</v>
      </c>
      <c r="M13">
        <f t="shared" si="2"/>
        <v>0.77049444444444115</v>
      </c>
      <c r="N13">
        <f t="shared" si="3"/>
        <v>2.9816853932584224</v>
      </c>
      <c r="O13">
        <f t="shared" si="0"/>
        <v>2.1471691207713905</v>
      </c>
      <c r="P13">
        <f t="shared" si="1"/>
        <v>88.021978021978015</v>
      </c>
    </row>
    <row r="14" spans="1:16" x14ac:dyDescent="0.25">
      <c r="A14">
        <v>60</v>
      </c>
      <c r="B14">
        <v>0.92</v>
      </c>
      <c r="C14">
        <f t="shared" si="4"/>
        <v>55.2</v>
      </c>
      <c r="D14">
        <v>18.329999999999998</v>
      </c>
      <c r="E14">
        <v>2.63</v>
      </c>
      <c r="F14">
        <f t="shared" si="12"/>
        <v>48.207899999999995</v>
      </c>
      <c r="G14">
        <f>D14/E14</f>
        <v>6.9695817490494294</v>
      </c>
      <c r="H14">
        <v>23.114452</v>
      </c>
      <c r="I14">
        <v>3.3509000000000002</v>
      </c>
      <c r="J14">
        <v>18.464881999999999</v>
      </c>
      <c r="K14">
        <v>2.6768519999999998</v>
      </c>
      <c r="L14">
        <f t="shared" si="5"/>
        <v>6.8979839004920711</v>
      </c>
      <c r="M14">
        <f t="shared" si="2"/>
        <v>0.7358537915984783</v>
      </c>
      <c r="N14">
        <f t="shared" si="3"/>
        <v>1.7814448669201481</v>
      </c>
      <c r="O14">
        <f t="shared" si="0"/>
        <v>1.0272904621159427</v>
      </c>
      <c r="P14">
        <f t="shared" si="1"/>
        <v>87.333152173913035</v>
      </c>
    </row>
    <row r="15" spans="1:16" x14ac:dyDescent="0.25">
      <c r="A15">
        <v>60</v>
      </c>
      <c r="B15">
        <v>0.89</v>
      </c>
      <c r="C15">
        <f t="shared" si="4"/>
        <v>53.4</v>
      </c>
      <c r="D15">
        <v>18.72</v>
      </c>
      <c r="E15">
        <v>2.4900000000000002</v>
      </c>
      <c r="F15">
        <f t="shared" ref="F15" si="13">D15*E15</f>
        <v>46.6128</v>
      </c>
      <c r="G15">
        <f>D15/E15</f>
        <v>7.5180722891566258</v>
      </c>
      <c r="H15">
        <v>23.114920000000001</v>
      </c>
      <c r="I15">
        <v>3.1530900000000002</v>
      </c>
      <c r="J15">
        <v>18.834526</v>
      </c>
      <c r="K15">
        <v>2.5692050000000002</v>
      </c>
      <c r="L15">
        <f t="shared" si="5"/>
        <v>7.3308770611920808</v>
      </c>
      <c r="M15">
        <f t="shared" si="2"/>
        <v>0.61178418803419587</v>
      </c>
      <c r="N15">
        <f t="shared" si="3"/>
        <v>3.1809236947791151</v>
      </c>
      <c r="O15">
        <f t="shared" si="0"/>
        <v>2.4899365258104549</v>
      </c>
      <c r="P15">
        <f t="shared" si="1"/>
        <v>87.289887640449436</v>
      </c>
    </row>
    <row r="16" spans="1:16" x14ac:dyDescent="0.25">
      <c r="A16">
        <v>60</v>
      </c>
      <c r="B16">
        <v>0.87</v>
      </c>
      <c r="C16">
        <f t="shared" si="4"/>
        <v>52.2</v>
      </c>
      <c r="D16">
        <v>19.170000000000002</v>
      </c>
      <c r="E16">
        <v>2.37</v>
      </c>
      <c r="F16">
        <f>D16*E16</f>
        <v>45.432900000000004</v>
      </c>
      <c r="G16">
        <f t="shared" ref="G16:G18" si="14">D16/E16</f>
        <v>8.0886075949367093</v>
      </c>
      <c r="H16">
        <v>23.116347999999999</v>
      </c>
      <c r="I16">
        <v>2.9031929999999999</v>
      </c>
      <c r="J16">
        <v>19.264558999999998</v>
      </c>
      <c r="K16">
        <v>2.4194450000000001</v>
      </c>
      <c r="L16">
        <f t="shared" ref="L16:L20" si="15">J16/K16</f>
        <v>7.9623876550200556</v>
      </c>
      <c r="M16">
        <f t="shared" si="2"/>
        <v>0.49326551904014987</v>
      </c>
      <c r="N16">
        <f t="shared" si="3"/>
        <v>2.0862869198312222</v>
      </c>
      <c r="O16">
        <f t="shared" si="0"/>
        <v>1.5604656108631678</v>
      </c>
      <c r="P16">
        <f t="shared" si="1"/>
        <v>87.036206896551732</v>
      </c>
    </row>
    <row r="17" spans="1:16" x14ac:dyDescent="0.25">
      <c r="A17">
        <v>60</v>
      </c>
      <c r="B17">
        <v>0.83</v>
      </c>
      <c r="C17">
        <f t="shared" ref="C17:C21" si="16">A15*B17</f>
        <v>49.8</v>
      </c>
      <c r="D17">
        <v>19.57</v>
      </c>
      <c r="E17">
        <v>2.17</v>
      </c>
      <c r="F17">
        <f t="shared" ref="F17:F20" si="17">D17*E17</f>
        <v>42.466900000000003</v>
      </c>
      <c r="G17">
        <f t="shared" si="14"/>
        <v>9.0184331797235036</v>
      </c>
      <c r="H17">
        <v>23.115911000000001</v>
      </c>
      <c r="I17">
        <v>2.6304729999999998</v>
      </c>
      <c r="J17">
        <v>19.651440000000001</v>
      </c>
      <c r="K17">
        <v>2.2362329999999999</v>
      </c>
      <c r="L17">
        <f t="shared" si="15"/>
        <v>8.7877426010616961</v>
      </c>
      <c r="M17">
        <f t="shared" si="2"/>
        <v>0.41614716402657448</v>
      </c>
      <c r="N17">
        <f t="shared" si="3"/>
        <v>3.0522119815668196</v>
      </c>
      <c r="O17">
        <f t="shared" si="0"/>
        <v>2.5579895538892288</v>
      </c>
      <c r="P17">
        <f t="shared" si="1"/>
        <v>85.274899598393588</v>
      </c>
    </row>
    <row r="18" spans="1:16" x14ac:dyDescent="0.25">
      <c r="A18">
        <v>60</v>
      </c>
      <c r="B18">
        <v>0.77</v>
      </c>
      <c r="C18">
        <f t="shared" si="16"/>
        <v>46.2</v>
      </c>
      <c r="D18">
        <v>19.899999999999999</v>
      </c>
      <c r="E18">
        <v>2</v>
      </c>
      <c r="F18">
        <f t="shared" si="17"/>
        <v>39.799999999999997</v>
      </c>
      <c r="G18">
        <f t="shared" si="14"/>
        <v>9.9499999999999993</v>
      </c>
      <c r="H18">
        <v>23.116067999999999</v>
      </c>
      <c r="I18">
        <v>2.396255</v>
      </c>
      <c r="J18">
        <v>19.971132000000001</v>
      </c>
      <c r="K18">
        <v>2.0702449999999999</v>
      </c>
      <c r="L18">
        <f t="shared" si="15"/>
        <v>9.6467480902018856</v>
      </c>
      <c r="M18">
        <f t="shared" si="2"/>
        <v>0.35744723618091556</v>
      </c>
      <c r="N18">
        <f t="shared" si="3"/>
        <v>3.5122499999999945</v>
      </c>
      <c r="O18">
        <f t="shared" si="0"/>
        <v>3.0477578874182281</v>
      </c>
      <c r="P18">
        <f t="shared" si="1"/>
        <v>86.147186147186133</v>
      </c>
    </row>
    <row r="19" spans="1:16" x14ac:dyDescent="0.25">
      <c r="A19">
        <v>60</v>
      </c>
      <c r="B19">
        <v>0.57999999999999996</v>
      </c>
      <c r="C19">
        <f t="shared" si="16"/>
        <v>34.799999999999997</v>
      </c>
      <c r="D19">
        <v>20.56</v>
      </c>
      <c r="E19">
        <v>1.43</v>
      </c>
      <c r="F19">
        <f t="shared" si="17"/>
        <v>29.400799999999997</v>
      </c>
      <c r="G19">
        <f>D19/E19</f>
        <v>14.377622377622377</v>
      </c>
      <c r="H19">
        <v>23.123290999999998</v>
      </c>
      <c r="I19">
        <v>1.7481990000000001</v>
      </c>
      <c r="J19">
        <v>20.552085999999999</v>
      </c>
      <c r="K19">
        <v>1.5538069999999999</v>
      </c>
      <c r="L19">
        <f t="shared" si="15"/>
        <v>13.226923292275037</v>
      </c>
      <c r="M19">
        <f t="shared" ref="M19:M22" si="18">ABS(J19-D19)/D19*100</f>
        <v>3.8492217898830415E-2</v>
      </c>
      <c r="N19">
        <f t="shared" ref="N19:N22" si="19">ABS(K19-E19)/E19*100</f>
        <v>8.6578321678321668</v>
      </c>
      <c r="O19">
        <f t="shared" ref="O19:O22" si="20">(ABS(L19-G19)/G19)*100</f>
        <v>8.0034031714333427</v>
      </c>
      <c r="P19">
        <f t="shared" ref="P19:P22" si="21">(F19/C19)*100</f>
        <v>84.485057471264369</v>
      </c>
    </row>
    <row r="20" spans="1:16" x14ac:dyDescent="0.25">
      <c r="A20">
        <v>60</v>
      </c>
      <c r="B20">
        <v>0.27</v>
      </c>
      <c r="C20">
        <f t="shared" si="16"/>
        <v>16.200000000000003</v>
      </c>
      <c r="D20">
        <v>21.55</v>
      </c>
      <c r="E20">
        <v>0.52</v>
      </c>
      <c r="F20">
        <f t="shared" si="17"/>
        <v>11.206000000000001</v>
      </c>
      <c r="G20">
        <f>D20/E20</f>
        <v>41.442307692307693</v>
      </c>
      <c r="H20">
        <v>23.136288</v>
      </c>
      <c r="I20">
        <v>0.80101999999999995</v>
      </c>
      <c r="J20">
        <v>21.464041000000002</v>
      </c>
      <c r="K20">
        <v>0.74312400000000001</v>
      </c>
      <c r="L20">
        <f t="shared" si="15"/>
        <v>28.883525495072156</v>
      </c>
      <c r="M20">
        <f t="shared" si="18"/>
        <v>0.39888167053363804</v>
      </c>
      <c r="N20">
        <f t="shared" si="19"/>
        <v>42.908461538461538</v>
      </c>
      <c r="O20">
        <f t="shared" si="20"/>
        <v>30.304254025811968</v>
      </c>
      <c r="P20">
        <f t="shared" si="21"/>
        <v>69.172839506172835</v>
      </c>
    </row>
    <row r="21" spans="1:16" x14ac:dyDescent="0.25">
      <c r="A21">
        <v>60</v>
      </c>
      <c r="B21">
        <v>0.12</v>
      </c>
      <c r="C21">
        <f t="shared" si="16"/>
        <v>7.1999999999999993</v>
      </c>
      <c r="D21">
        <v>22.12</v>
      </c>
      <c r="E21">
        <v>0.05</v>
      </c>
      <c r="F21">
        <f>D21*E21</f>
        <v>1.1060000000000001</v>
      </c>
      <c r="G21">
        <f t="shared" ref="G21:G22" si="22">D21/E21</f>
        <v>442.4</v>
      </c>
      <c r="H21">
        <v>23.140647999999999</v>
      </c>
      <c r="I21">
        <v>0.30976199999999998</v>
      </c>
      <c r="J21">
        <v>21.969180999999999</v>
      </c>
      <c r="K21">
        <v>0.29408000000000001</v>
      </c>
      <c r="L21">
        <f t="shared" ref="L21:L22" si="23">J21/K21</f>
        <v>74.704777611534269</v>
      </c>
      <c r="M21">
        <f t="shared" si="18"/>
        <v>0.6818218806510038</v>
      </c>
      <c r="N21">
        <f t="shared" si="19"/>
        <v>488.15999999999997</v>
      </c>
      <c r="O21">
        <f t="shared" si="20"/>
        <v>83.113748279490437</v>
      </c>
      <c r="P21">
        <f t="shared" si="21"/>
        <v>15.361111111111114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2026-03-13T17:23:08Z</dcterms:modified>
</cp:coreProperties>
</file>