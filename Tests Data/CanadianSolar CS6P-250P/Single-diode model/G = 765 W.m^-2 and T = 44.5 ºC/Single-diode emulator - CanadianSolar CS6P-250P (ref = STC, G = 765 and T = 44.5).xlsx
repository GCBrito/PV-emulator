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briel\Desktop\Stage_GeePs\Test Data - new\CanadianSolar CS6P-250P\Single-diode model\S = 765 W.m^-2 and T = 44.5 ºC\"/>
    </mc:Choice>
  </mc:AlternateContent>
  <xr:revisionPtr revIDLastSave="0" documentId="13_ncr:1_{7BF75DF1-4700-4E98-9C6B-E140EF7D32BF}" xr6:coauthVersionLast="47" xr6:coauthVersionMax="47" xr10:uidLastSave="{00000000-0000-0000-0000-000000000000}"/>
  <bookViews>
    <workbookView xWindow="10140" yWindow="0" windowWidth="10455" windowHeight="10905" xr2:uid="{217CCB4B-160F-4504-987F-9C10DFEEC66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" i="1"/>
  <c r="G15" i="1"/>
  <c r="G13" i="1"/>
  <c r="C17" i="1"/>
  <c r="F17" i="1"/>
  <c r="G17" i="1"/>
  <c r="L17" i="1"/>
  <c r="C18" i="1"/>
  <c r="F18" i="1"/>
  <c r="G18" i="1"/>
  <c r="L18" i="1"/>
  <c r="C19" i="1"/>
  <c r="F19" i="1"/>
  <c r="G19" i="1"/>
  <c r="L19" i="1"/>
  <c r="L16" i="1"/>
  <c r="G16" i="1"/>
  <c r="F16" i="1"/>
  <c r="C16" i="1"/>
  <c r="G12" i="1"/>
  <c r="L9" i="1"/>
  <c r="G9" i="1"/>
  <c r="F9" i="1"/>
  <c r="C9" i="1"/>
  <c r="L6" i="1"/>
  <c r="G6" i="1"/>
  <c r="F6" i="1"/>
  <c r="C6" i="1"/>
  <c r="L2" i="1"/>
  <c r="G2" i="1"/>
  <c r="F2" i="1"/>
  <c r="C2" i="1"/>
  <c r="C3" i="1"/>
  <c r="L3" i="1"/>
  <c r="G3" i="1"/>
  <c r="F3" i="1"/>
  <c r="L5" i="1"/>
  <c r="L7" i="1"/>
  <c r="L8" i="1"/>
  <c r="L10" i="1"/>
  <c r="L11" i="1"/>
  <c r="L12" i="1"/>
  <c r="L13" i="1"/>
  <c r="L14" i="1"/>
  <c r="L15" i="1"/>
  <c r="L4" i="1"/>
  <c r="C15" i="1"/>
  <c r="F15" i="1"/>
  <c r="G14" i="1"/>
  <c r="F14" i="1"/>
  <c r="C14" i="1"/>
  <c r="G4" i="1"/>
  <c r="F4" i="1"/>
  <c r="C4" i="1"/>
  <c r="F5" i="1"/>
  <c r="G5" i="1"/>
  <c r="F7" i="1"/>
  <c r="G7" i="1"/>
  <c r="F8" i="1"/>
  <c r="G8" i="1"/>
  <c r="F10" i="1"/>
  <c r="G10" i="1"/>
  <c r="F11" i="1"/>
  <c r="G11" i="1"/>
  <c r="F12" i="1"/>
  <c r="F13" i="1"/>
  <c r="C7" i="1"/>
  <c r="C5" i="1"/>
  <c r="C8" i="1"/>
  <c r="C11" i="1"/>
  <c r="C12" i="1"/>
  <c r="C10" i="1"/>
  <c r="C13" i="1"/>
  <c r="O19" i="1" l="1"/>
  <c r="P19" i="1"/>
  <c r="O18" i="1"/>
  <c r="P18" i="1"/>
  <c r="O17" i="1"/>
  <c r="P17" i="1"/>
  <c r="O6" i="1"/>
  <c r="O9" i="1"/>
  <c r="P9" i="1"/>
  <c r="P6" i="1"/>
  <c r="O16" i="1"/>
  <c r="P16" i="1"/>
  <c r="O15" i="1"/>
  <c r="O2" i="1"/>
  <c r="P2" i="1"/>
  <c r="O3" i="1"/>
  <c r="P3" i="1"/>
  <c r="P14" i="1"/>
  <c r="P15" i="1"/>
  <c r="O14" i="1"/>
  <c r="O4" i="1"/>
  <c r="P4" i="1"/>
  <c r="P7" i="1"/>
  <c r="O7" i="1"/>
  <c r="O5" i="1"/>
  <c r="P5" i="1"/>
  <c r="O8" i="1"/>
  <c r="P8" i="1"/>
  <c r="P10" i="1"/>
  <c r="O11" i="1"/>
  <c r="P11" i="1"/>
  <c r="O12" i="1"/>
  <c r="P12" i="1"/>
  <c r="O10" i="1"/>
  <c r="P13" i="1"/>
  <c r="O13" i="1"/>
</calcChain>
</file>

<file path=xl/sharedStrings.xml><?xml version="1.0" encoding="utf-8"?>
<sst xmlns="http://schemas.openxmlformats.org/spreadsheetml/2006/main" count="16" uniqueCount="16">
  <si>
    <t>Vs_test</t>
  </si>
  <si>
    <t>Is_test</t>
  </si>
  <si>
    <t>Vs*</t>
  </si>
  <si>
    <t>Is*</t>
  </si>
  <si>
    <t>Vs (Volt)</t>
  </si>
  <si>
    <t>Is (Amp)</t>
  </si>
  <si>
    <t>Ve (alim)</t>
  </si>
  <si>
    <t>Ie (alim)</t>
  </si>
  <si>
    <t>Ps</t>
  </si>
  <si>
    <t>R*</t>
  </si>
  <si>
    <t xml:space="preserve">R </t>
  </si>
  <si>
    <t xml:space="preserve">Pe </t>
  </si>
  <si>
    <t>Rend. (%)</t>
  </si>
  <si>
    <t>R Error (%)</t>
  </si>
  <si>
    <t>Vs Error (%)</t>
  </si>
  <si>
    <t>Is Error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</si>
</sst>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0" fillId="0" borderId="0" xfId="0" quotePrefix="1"/>
  </cellXfs>
  <cellStyles count="2">
    <cellStyle name="Ênfase6" xfId="1" builtinId="4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D570-ED79-418B-A1D1-0F000D275672}">
  <dimension ref="A1:P19"/>
  <sheetViews>
    <sheetView tabSelected="1" topLeftCell="I1" zoomScale="115" zoomScaleNormal="115" workbookViewId="0">
      <selection activeCell="J3" sqref="J3"/>
    </sheetView>
  </sheetViews>
  <sheetFormatPr defaultColWidth="9.140625" defaultRowHeight="15" x14ac:dyDescent="0.25"/>
  <cols>
    <col min="5" max="5" width="8.5703125" customWidth="1"/>
  </cols>
  <sheetData>
    <row r="1" spans="1:16" s="2" customFormat="1" x14ac:dyDescent="0.25">
      <c r="A1" s="1" t="s">
        <v>6</v>
      </c>
      <c r="B1" s="1" t="s">
        <v>7</v>
      </c>
      <c r="C1" s="1" t="s">
        <v>11</v>
      </c>
      <c r="D1" s="1" t="s">
        <v>4</v>
      </c>
      <c r="E1" s="1" t="s">
        <v>5</v>
      </c>
      <c r="F1" s="1" t="s">
        <v>8</v>
      </c>
      <c r="G1" s="1" t="s">
        <v>10</v>
      </c>
      <c r="H1" s="1" t="s">
        <v>0</v>
      </c>
      <c r="I1" s="1" t="s">
        <v>1</v>
      </c>
      <c r="J1" s="1" t="s">
        <v>2</v>
      </c>
      <c r="K1" s="1" t="s">
        <v>3</v>
      </c>
      <c r="L1" s="1" t="s">
        <v>9</v>
      </c>
      <c r="M1" s="1" t="s">
        <v>14</v>
      </c>
      <c r="N1" s="1" t="s">
        <v>15</v>
      </c>
      <c r="O1" s="1" t="s">
        <v>13</v>
      </c>
      <c r="P1" s="1" t="s">
        <v>12</v>
      </c>
    </row>
    <row r="2" spans="1:16" x14ac:dyDescent="0.25">
      <c r="A2">
        <v>60</v>
      </c>
      <c r="B2">
        <v>2.42</v>
      </c>
      <c r="C2">
        <f>A2*B2</f>
        <v>145.19999999999999</v>
      </c>
      <c r="D2">
        <v>19.600000000000001</v>
      </c>
      <c r="E2">
        <v>6.78</v>
      </c>
      <c r="F2">
        <f>D2*E2</f>
        <v>132.88800000000001</v>
      </c>
      <c r="G2">
        <f>D2/E2</f>
        <v>2.8908554572271385</v>
      </c>
      <c r="H2">
        <v>35.784858999999997</v>
      </c>
      <c r="I2">
        <v>12.165794</v>
      </c>
      <c r="J2">
        <v>20.089265999999999</v>
      </c>
      <c r="K2">
        <v>6.8297569999999999</v>
      </c>
      <c r="L2">
        <f>J2/K2</f>
        <v>2.9414320304514492</v>
      </c>
      <c r="M2">
        <f>ABS(J2-D2)/D2*100</f>
        <v>2.4962551020408013</v>
      </c>
      <c r="N2">
        <f>ABS(K2-E2)/E2*100</f>
        <v>0.73387905604719184</v>
      </c>
      <c r="O2">
        <f>(ABS(L2-G2)/G2)*100</f>
        <v>1.7495365635756437</v>
      </c>
      <c r="P2">
        <f>(F2/C2)*100</f>
        <v>91.520661157024804</v>
      </c>
    </row>
    <row r="3" spans="1:16" x14ac:dyDescent="0.25">
      <c r="A3">
        <v>60</v>
      </c>
      <c r="B3">
        <v>2.59</v>
      </c>
      <c r="C3">
        <f>A3*B3</f>
        <v>155.39999999999998</v>
      </c>
      <c r="D3">
        <v>20.94</v>
      </c>
      <c r="E3">
        <v>6.91</v>
      </c>
      <c r="F3">
        <f>D3*E3</f>
        <v>144.69540000000001</v>
      </c>
      <c r="G3">
        <f>D3/E3</f>
        <v>3.0303907380607815</v>
      </c>
      <c r="H3">
        <v>35.786651999999997</v>
      </c>
      <c r="I3">
        <v>11.396839</v>
      </c>
      <c r="J3">
        <v>21.406616</v>
      </c>
      <c r="K3">
        <v>6.8172839999999999</v>
      </c>
      <c r="L3">
        <f>J3/K3</f>
        <v>3.140050495182539</v>
      </c>
      <c r="M3">
        <f t="shared" ref="M3:M19" si="0">ABS(J3-D3)/D3*100</f>
        <v>2.2283476599808898</v>
      </c>
      <c r="N3">
        <f t="shared" ref="N3:N19" si="1">ABS(K3-E3)/E3*100</f>
        <v>1.3417655571635345</v>
      </c>
      <c r="O3">
        <f>(ABS(L3-G3)/G3)*100</f>
        <v>3.6186672479051767</v>
      </c>
      <c r="P3">
        <f>(F3/C3)*100</f>
        <v>93.111583011583036</v>
      </c>
    </row>
    <row r="4" spans="1:16" x14ac:dyDescent="0.25">
      <c r="A4">
        <v>60</v>
      </c>
      <c r="B4">
        <v>2.75</v>
      </c>
      <c r="C4">
        <f t="shared" ref="C4:C16" si="2">A2*B4</f>
        <v>165</v>
      </c>
      <c r="D4">
        <v>22.15</v>
      </c>
      <c r="E4">
        <v>6.94</v>
      </c>
      <c r="F4">
        <f>D4*E4</f>
        <v>153.721</v>
      </c>
      <c r="G4">
        <f>D4/E4</f>
        <v>3.1916426512968297</v>
      </c>
      <c r="H4">
        <v>35.784744000000003</v>
      </c>
      <c r="I4">
        <v>10.764367999999999</v>
      </c>
      <c r="J4">
        <v>22.612379000000001</v>
      </c>
      <c r="K4">
        <v>6.8020040000000002</v>
      </c>
      <c r="L4">
        <f>J4/K4</f>
        <v>3.3243701415053564</v>
      </c>
      <c r="M4">
        <f t="shared" si="0"/>
        <v>2.0874898419864656</v>
      </c>
      <c r="N4">
        <f t="shared" si="1"/>
        <v>1.9884149855907813</v>
      </c>
      <c r="O4">
        <f>(ABS(L4-G4)/G4)*100</f>
        <v>4.1585949528089179</v>
      </c>
      <c r="P4">
        <f>(F4/C4)*100</f>
        <v>93.164242424242431</v>
      </c>
    </row>
    <row r="5" spans="1:16" x14ac:dyDescent="0.25">
      <c r="A5">
        <v>60</v>
      </c>
      <c r="B5">
        <v>2.87</v>
      </c>
      <c r="C5">
        <f t="shared" si="2"/>
        <v>172.20000000000002</v>
      </c>
      <c r="D5">
        <v>23.25</v>
      </c>
      <c r="E5" s="3">
        <v>6.88</v>
      </c>
      <c r="F5">
        <f>D5*E5</f>
        <v>159.96</v>
      </c>
      <c r="G5">
        <f>D5/E5</f>
        <v>3.379360465116279</v>
      </c>
      <c r="H5">
        <v>35.783969999999997</v>
      </c>
      <c r="I5">
        <v>10.236521</v>
      </c>
      <c r="J5">
        <v>23.688374</v>
      </c>
      <c r="K5">
        <v>6.7764009999999999</v>
      </c>
      <c r="L5">
        <f t="shared" ref="L5:L15" si="3">J5/K5</f>
        <v>3.4957160888205996</v>
      </c>
      <c r="M5">
        <f t="shared" si="0"/>
        <v>1.8854795698924713</v>
      </c>
      <c r="N5">
        <f t="shared" si="1"/>
        <v>1.5057994186046511</v>
      </c>
      <c r="O5">
        <f>(ABS(L5-G5)/G5)*100</f>
        <v>3.4431255530568854</v>
      </c>
      <c r="P5">
        <f>(F5/C5)*100</f>
        <v>92.891986062717763</v>
      </c>
    </row>
    <row r="6" spans="1:16" x14ac:dyDescent="0.25">
      <c r="A6">
        <v>60</v>
      </c>
      <c r="B6">
        <v>2.99</v>
      </c>
      <c r="C6">
        <f t="shared" si="2"/>
        <v>179.4</v>
      </c>
      <c r="D6">
        <v>24.45</v>
      </c>
      <c r="E6" s="3">
        <v>6.89</v>
      </c>
      <c r="F6">
        <f>D6*E6</f>
        <v>168.4605</v>
      </c>
      <c r="G6">
        <f>D6/E6</f>
        <v>3.5486211901306239</v>
      </c>
      <c r="H6">
        <v>35.786597999999998</v>
      </c>
      <c r="I6">
        <v>9.6715370000000007</v>
      </c>
      <c r="J6">
        <v>24.878903999999999</v>
      </c>
      <c r="K6">
        <v>6.7236690000000001</v>
      </c>
      <c r="L6">
        <f t="shared" ref="L6" si="4">J6/K6</f>
        <v>3.7001976153198495</v>
      </c>
      <c r="M6">
        <f t="shared" si="0"/>
        <v>1.7542085889570525</v>
      </c>
      <c r="N6">
        <f t="shared" si="1"/>
        <v>2.4140928882438253</v>
      </c>
      <c r="O6">
        <f>(ABS(L6-G6)/G6)*100</f>
        <v>4.2714174623875829</v>
      </c>
      <c r="P6">
        <f>(F6/C6)*100</f>
        <v>93.90217391304347</v>
      </c>
    </row>
    <row r="7" spans="1:16" x14ac:dyDescent="0.25">
      <c r="A7">
        <v>60</v>
      </c>
      <c r="B7">
        <v>3.04</v>
      </c>
      <c r="C7">
        <f t="shared" si="2"/>
        <v>182.4</v>
      </c>
      <c r="D7">
        <v>25.5</v>
      </c>
      <c r="E7">
        <v>6.82</v>
      </c>
      <c r="F7">
        <f t="shared" ref="F7" si="5">D7*E7</f>
        <v>173.91</v>
      </c>
      <c r="G7">
        <f t="shared" ref="G7" si="6">D7/E7</f>
        <v>3.7390029325513194</v>
      </c>
      <c r="H7">
        <v>35.785907999999999</v>
      </c>
      <c r="I7">
        <v>9.1765559999999997</v>
      </c>
      <c r="J7">
        <v>25.916357000000001</v>
      </c>
      <c r="K7">
        <v>6.6457139999999999</v>
      </c>
      <c r="L7">
        <f t="shared" si="3"/>
        <v>3.8997099483968167</v>
      </c>
      <c r="M7">
        <f t="shared" si="0"/>
        <v>1.6327725490196134</v>
      </c>
      <c r="N7">
        <f t="shared" si="1"/>
        <v>2.5555131964809439</v>
      </c>
      <c r="O7">
        <f>(ABS(L7-G7)/G7)*100</f>
        <v>4.2981248943776142</v>
      </c>
      <c r="P7">
        <f>(F7/C7)*100</f>
        <v>95.34539473684211</v>
      </c>
    </row>
    <row r="8" spans="1:16" x14ac:dyDescent="0.25">
      <c r="A8">
        <v>60</v>
      </c>
      <c r="B8">
        <v>3.11</v>
      </c>
      <c r="C8">
        <f t="shared" si="2"/>
        <v>186.6</v>
      </c>
      <c r="D8">
        <v>26.27</v>
      </c>
      <c r="E8">
        <v>6.72</v>
      </c>
      <c r="F8">
        <f>D8*E8</f>
        <v>176.53439999999998</v>
      </c>
      <c r="G8">
        <f t="shared" ref="G8:G12" si="7">D8/E8</f>
        <v>3.9092261904761907</v>
      </c>
      <c r="H8">
        <v>35.783023999999997</v>
      </c>
      <c r="I8">
        <v>8.8042809999999996</v>
      </c>
      <c r="J8">
        <v>26.656096000000002</v>
      </c>
      <c r="K8">
        <v>6.5586339999999996</v>
      </c>
      <c r="L8">
        <f t="shared" si="3"/>
        <v>4.0642755793355754</v>
      </c>
      <c r="M8">
        <f t="shared" si="0"/>
        <v>1.4697221164826875</v>
      </c>
      <c r="N8">
        <f t="shared" si="1"/>
        <v>2.4012797619047639</v>
      </c>
      <c r="O8">
        <f>(ABS(L8-G8)/G8)*100</f>
        <v>3.9662424557863152</v>
      </c>
      <c r="P8">
        <f>(F8/C8)*100</f>
        <v>94.605787781350472</v>
      </c>
    </row>
    <row r="9" spans="1:16" x14ac:dyDescent="0.25">
      <c r="A9">
        <v>60</v>
      </c>
      <c r="B9">
        <v>3.14</v>
      </c>
      <c r="C9">
        <f t="shared" si="2"/>
        <v>188.4</v>
      </c>
      <c r="D9">
        <v>27.06</v>
      </c>
      <c r="E9">
        <v>6.6</v>
      </c>
      <c r="F9">
        <f>D9*E9</f>
        <v>178.59599999999998</v>
      </c>
      <c r="G9">
        <f t="shared" ref="G9" si="8">D9/E9</f>
        <v>4.0999999999999996</v>
      </c>
      <c r="H9">
        <v>35.787360999999997</v>
      </c>
      <c r="I9">
        <v>8.3936209999999996</v>
      </c>
      <c r="J9">
        <v>27.416744000000001</v>
      </c>
      <c r="K9">
        <v>6.4303650000000001</v>
      </c>
      <c r="L9">
        <f t="shared" ref="L9" si="9">J9/K9</f>
        <v>4.2636372896406352</v>
      </c>
      <c r="M9">
        <f t="shared" si="0"/>
        <v>1.3183444198078442</v>
      </c>
      <c r="N9">
        <f t="shared" si="1"/>
        <v>2.5702272727272657</v>
      </c>
      <c r="O9">
        <f>(ABS(L9-G9)/G9)*100</f>
        <v>3.9911534058691593</v>
      </c>
      <c r="P9">
        <f>(F9/C9)*100</f>
        <v>94.796178343949038</v>
      </c>
    </row>
    <row r="10" spans="1:16" x14ac:dyDescent="0.25">
      <c r="A10">
        <v>60</v>
      </c>
      <c r="B10">
        <v>3.13</v>
      </c>
      <c r="C10">
        <f t="shared" si="2"/>
        <v>187.79999999999998</v>
      </c>
      <c r="D10">
        <v>27.8</v>
      </c>
      <c r="E10">
        <v>6.42</v>
      </c>
      <c r="F10">
        <f>D10*E10</f>
        <v>178.476</v>
      </c>
      <c r="G10">
        <f>D10/E10</f>
        <v>4.3302180685358254</v>
      </c>
      <c r="H10">
        <v>35.783805999999998</v>
      </c>
      <c r="I10">
        <v>7.9662189999999997</v>
      </c>
      <c r="J10">
        <v>28.124404999999999</v>
      </c>
      <c r="K10">
        <v>6.2610770000000002</v>
      </c>
      <c r="L10">
        <f t="shared" si="3"/>
        <v>4.4919436384507012</v>
      </c>
      <c r="M10">
        <f t="shared" si="0"/>
        <v>1.16692446043165</v>
      </c>
      <c r="N10">
        <f t="shared" si="1"/>
        <v>2.4754361370716462</v>
      </c>
      <c r="O10">
        <f>(ABS(L10-G10)/G10)*100</f>
        <v>3.7348135210557665</v>
      </c>
      <c r="P10">
        <f>(F10/C10)*100</f>
        <v>95.035143769968059</v>
      </c>
    </row>
    <row r="11" spans="1:16" x14ac:dyDescent="0.25">
      <c r="A11">
        <v>60</v>
      </c>
      <c r="B11">
        <v>3.08</v>
      </c>
      <c r="C11">
        <f t="shared" si="2"/>
        <v>184.8</v>
      </c>
      <c r="D11">
        <v>28.32</v>
      </c>
      <c r="E11">
        <v>6.21</v>
      </c>
      <c r="F11">
        <f>D11*E11</f>
        <v>175.8672</v>
      </c>
      <c r="G11">
        <f t="shared" si="7"/>
        <v>4.5603864734299515</v>
      </c>
      <c r="H11">
        <v>35.786223999999997</v>
      </c>
      <c r="I11">
        <v>7.6366769999999997</v>
      </c>
      <c r="J11">
        <v>28.616513999999999</v>
      </c>
      <c r="K11">
        <v>6.1066820000000002</v>
      </c>
      <c r="L11">
        <f t="shared" si="3"/>
        <v>4.6860986047742452</v>
      </c>
      <c r="M11">
        <f t="shared" si="0"/>
        <v>1.047012711864401</v>
      </c>
      <c r="N11">
        <f t="shared" si="1"/>
        <v>1.663735909822863</v>
      </c>
      <c r="O11">
        <f>(ABS(L11-G11)/G11)*100</f>
        <v>2.7566113546894915</v>
      </c>
      <c r="P11">
        <f>(F11/C11)*100</f>
        <v>95.166233766233759</v>
      </c>
    </row>
    <row r="12" spans="1:16" x14ac:dyDescent="0.25">
      <c r="A12">
        <v>60</v>
      </c>
      <c r="B12">
        <v>3.02</v>
      </c>
      <c r="C12">
        <f t="shared" si="2"/>
        <v>181.2</v>
      </c>
      <c r="D12">
        <v>29.08</v>
      </c>
      <c r="E12">
        <v>5.93</v>
      </c>
      <c r="F12">
        <f>D12*E12</f>
        <v>172.44439999999997</v>
      </c>
      <c r="G12">
        <f t="shared" si="7"/>
        <v>4.9038785834738619</v>
      </c>
      <c r="H12">
        <v>35.786361999999997</v>
      </c>
      <c r="I12">
        <v>7.083742</v>
      </c>
      <c r="J12">
        <v>29.345022</v>
      </c>
      <c r="K12">
        <v>5.8087090000000003</v>
      </c>
      <c r="L12">
        <f t="shared" si="3"/>
        <v>5.0519008612757155</v>
      </c>
      <c r="M12">
        <f t="shared" si="0"/>
        <v>0.91135488308116186</v>
      </c>
      <c r="N12">
        <f t="shared" si="1"/>
        <v>2.0453794266441716</v>
      </c>
      <c r="O12">
        <f>(ABS(L12-G12)/G12)*100</f>
        <v>3.0184735466471526</v>
      </c>
      <c r="P12">
        <f>(F12/C12)*100</f>
        <v>95.16799116997791</v>
      </c>
    </row>
    <row r="13" spans="1:16" x14ac:dyDescent="0.25">
      <c r="A13">
        <v>60</v>
      </c>
      <c r="B13">
        <v>2.89</v>
      </c>
      <c r="C13">
        <f t="shared" si="2"/>
        <v>173.4</v>
      </c>
      <c r="D13">
        <v>29.86</v>
      </c>
      <c r="E13">
        <v>5.53</v>
      </c>
      <c r="F13">
        <f t="shared" ref="F13:F14" si="10">D13*E13</f>
        <v>165.1258</v>
      </c>
      <c r="G13">
        <f>D13/E13</f>
        <v>5.3996383363471967</v>
      </c>
      <c r="H13">
        <v>35.785271000000002</v>
      </c>
      <c r="I13">
        <v>6.4420359999999999</v>
      </c>
      <c r="J13">
        <v>30.058085999999999</v>
      </c>
      <c r="K13">
        <v>5.4110329999999998</v>
      </c>
      <c r="L13">
        <f t="shared" si="3"/>
        <v>5.5549626106512378</v>
      </c>
      <c r="M13">
        <f t="shared" si="0"/>
        <v>0.66338245144005348</v>
      </c>
      <c r="N13">
        <f t="shared" si="1"/>
        <v>2.1513019891500993</v>
      </c>
      <c r="O13">
        <f>(ABS(L13-G13)/G13)*100</f>
        <v>2.8765681075061855</v>
      </c>
      <c r="P13">
        <f>(F13/C13)*100</f>
        <v>95.22825836216839</v>
      </c>
    </row>
    <row r="14" spans="1:16" x14ac:dyDescent="0.25">
      <c r="A14">
        <v>60</v>
      </c>
      <c r="B14">
        <v>2.67</v>
      </c>
      <c r="C14">
        <f t="shared" si="2"/>
        <v>160.19999999999999</v>
      </c>
      <c r="D14">
        <v>30.51</v>
      </c>
      <c r="E14">
        <v>4.97</v>
      </c>
      <c r="F14">
        <f t="shared" si="10"/>
        <v>151.63470000000001</v>
      </c>
      <c r="G14">
        <f>D14/E14</f>
        <v>6.1388329979879286</v>
      </c>
      <c r="H14">
        <v>36.241776000000002</v>
      </c>
      <c r="I14">
        <v>5.8629949999999997</v>
      </c>
      <c r="J14">
        <v>30.656362999999999</v>
      </c>
      <c r="K14">
        <v>4.9594180000000003</v>
      </c>
      <c r="L14">
        <f t="shared" si="3"/>
        <v>6.1814436693983037</v>
      </c>
      <c r="M14">
        <f t="shared" si="0"/>
        <v>0.47972140281873926</v>
      </c>
      <c r="N14">
        <f t="shared" si="1"/>
        <v>0.21291750503016951</v>
      </c>
      <c r="O14">
        <f>(ABS(L14-G14)/G14)*100</f>
        <v>0.69411680403003695</v>
      </c>
      <c r="P14">
        <f>(F14/C14)*100</f>
        <v>94.653370786516859</v>
      </c>
    </row>
    <row r="15" spans="1:16" x14ac:dyDescent="0.25">
      <c r="A15">
        <v>60</v>
      </c>
      <c r="B15">
        <v>2.46</v>
      </c>
      <c r="C15">
        <f t="shared" si="2"/>
        <v>147.6</v>
      </c>
      <c r="D15">
        <v>31.18</v>
      </c>
      <c r="E15">
        <v>4.5</v>
      </c>
      <c r="F15">
        <f t="shared" ref="F15" si="11">D15*E15</f>
        <v>140.31</v>
      </c>
      <c r="G15">
        <f>D15/E15</f>
        <v>6.9288888888888884</v>
      </c>
      <c r="H15">
        <v>35.787559999999999</v>
      </c>
      <c r="I15">
        <v>5.1022860000000003</v>
      </c>
      <c r="J15">
        <v>31.281769000000001</v>
      </c>
      <c r="K15">
        <v>4.4598890000000004</v>
      </c>
      <c r="L15">
        <f t="shared" si="3"/>
        <v>7.0140241158468291</v>
      </c>
      <c r="M15">
        <f t="shared" si="0"/>
        <v>0.32639191789609007</v>
      </c>
      <c r="N15">
        <f t="shared" si="1"/>
        <v>0.89135555555554591</v>
      </c>
      <c r="O15">
        <f>(ABS(L15-G15)/G15)*100</f>
        <v>1.2286995551979885</v>
      </c>
      <c r="P15">
        <f>(F15/C15)*100</f>
        <v>95.060975609756099</v>
      </c>
    </row>
    <row r="16" spans="1:16" x14ac:dyDescent="0.25">
      <c r="A16">
        <v>60</v>
      </c>
      <c r="B16">
        <v>2.14</v>
      </c>
      <c r="C16">
        <f t="shared" si="2"/>
        <v>128.4</v>
      </c>
      <c r="D16">
        <v>31.69</v>
      </c>
      <c r="E16">
        <v>3.84</v>
      </c>
      <c r="F16">
        <f>D16*E16</f>
        <v>121.6896</v>
      </c>
      <c r="G16">
        <f t="shared" ref="G16:G19" si="12">D16/E16</f>
        <v>8.2526041666666679</v>
      </c>
      <c r="H16">
        <v>35.788845000000002</v>
      </c>
      <c r="I16">
        <v>4.3173950000000003</v>
      </c>
      <c r="J16">
        <v>31.720699</v>
      </c>
      <c r="K16">
        <v>3.8266330000000002</v>
      </c>
      <c r="L16">
        <f t="shared" ref="L16:L19" si="13">J16/K16</f>
        <v>8.2894542016441086</v>
      </c>
      <c r="M16">
        <f t="shared" si="0"/>
        <v>9.6872830545908728E-2</v>
      </c>
      <c r="N16">
        <f t="shared" si="1"/>
        <v>0.34809895833332516</v>
      </c>
      <c r="O16">
        <f>(ABS(L16-G16)/G16)*100</f>
        <v>0.44652614172727212</v>
      </c>
      <c r="P16">
        <f>(F16/C16)*100</f>
        <v>94.773831775700927</v>
      </c>
    </row>
    <row r="17" spans="1:16" x14ac:dyDescent="0.25">
      <c r="A17">
        <v>60</v>
      </c>
      <c r="B17">
        <v>1.39</v>
      </c>
      <c r="C17">
        <f t="shared" ref="C17:C19" si="14">A15*B17</f>
        <v>83.399999999999991</v>
      </c>
      <c r="D17">
        <v>31.84</v>
      </c>
      <c r="E17">
        <v>2.36</v>
      </c>
      <c r="F17">
        <f t="shared" ref="F17:F19" si="15">D17*E17</f>
        <v>75.142399999999995</v>
      </c>
      <c r="G17">
        <f t="shared" si="12"/>
        <v>13.491525423728815</v>
      </c>
      <c r="H17">
        <v>35.790173000000003</v>
      </c>
      <c r="I17">
        <v>2.6143000000000001</v>
      </c>
      <c r="J17">
        <v>32.716628999999998</v>
      </c>
      <c r="K17">
        <v>2.3897919999999999</v>
      </c>
      <c r="L17">
        <f t="shared" si="13"/>
        <v>13.690157553460718</v>
      </c>
      <c r="M17">
        <f t="shared" si="0"/>
        <v>2.753231783919591</v>
      </c>
      <c r="N17">
        <f t="shared" si="1"/>
        <v>1.2623728813559341</v>
      </c>
      <c r="O17">
        <f>(ABS(L17-G17)/G17)*100</f>
        <v>1.4722733233897358</v>
      </c>
      <c r="P17">
        <f>(F17/C17)*100</f>
        <v>90.098800959232619</v>
      </c>
    </row>
    <row r="18" spans="1:16" x14ac:dyDescent="0.25">
      <c r="A18">
        <v>60</v>
      </c>
      <c r="B18">
        <v>0.68</v>
      </c>
      <c r="C18">
        <f t="shared" si="14"/>
        <v>40.800000000000004</v>
      </c>
      <c r="D18">
        <v>33.770000000000003</v>
      </c>
      <c r="E18">
        <v>1.05</v>
      </c>
      <c r="F18">
        <f t="shared" si="15"/>
        <v>35.458500000000008</v>
      </c>
      <c r="G18">
        <f t="shared" si="12"/>
        <v>32.161904761904765</v>
      </c>
      <c r="H18">
        <v>35.804442999999999</v>
      </c>
      <c r="I18">
        <v>1.283223</v>
      </c>
      <c r="J18">
        <v>33.539886000000003</v>
      </c>
      <c r="K18">
        <v>1.202061</v>
      </c>
      <c r="L18">
        <f t="shared" si="13"/>
        <v>27.901983343607355</v>
      </c>
      <c r="M18">
        <f t="shared" si="0"/>
        <v>0.68141545750666377</v>
      </c>
      <c r="N18">
        <f t="shared" si="1"/>
        <v>14.482000000000001</v>
      </c>
      <c r="O18">
        <f>(ABS(L18-G18)/G18)*100</f>
        <v>13.24523982591732</v>
      </c>
      <c r="P18">
        <f>(F18/C18)*100</f>
        <v>86.908088235294116</v>
      </c>
    </row>
    <row r="19" spans="1:16" x14ac:dyDescent="0.25">
      <c r="A19">
        <v>60</v>
      </c>
      <c r="B19">
        <v>0.15</v>
      </c>
      <c r="C19">
        <f t="shared" si="14"/>
        <v>9</v>
      </c>
      <c r="D19">
        <v>34.51</v>
      </c>
      <c r="E19">
        <v>0.08</v>
      </c>
      <c r="F19">
        <f t="shared" si="15"/>
        <v>2.7607999999999997</v>
      </c>
      <c r="G19">
        <f t="shared" si="12"/>
        <v>431.37499999999994</v>
      </c>
      <c r="H19">
        <v>35.815018000000002</v>
      </c>
      <c r="I19">
        <v>0.28751399999999999</v>
      </c>
      <c r="J19">
        <v>34.182873000000001</v>
      </c>
      <c r="K19">
        <v>0.27441199999999999</v>
      </c>
      <c r="L19">
        <f t="shared" si="13"/>
        <v>124.56770476509774</v>
      </c>
      <c r="M19">
        <f t="shared" si="0"/>
        <v>0.94791944363951697</v>
      </c>
      <c r="N19">
        <f t="shared" si="1"/>
        <v>243.01499999999999</v>
      </c>
      <c r="O19">
        <f>(ABS(L19-G19)/G19)*100</f>
        <v>71.12310524135664</v>
      </c>
      <c r="P19">
        <f>(F19/C19)*100</f>
        <v>30.675555555555551</v>
      </c>
    </row>
  </sheetData>
  <pageMargins left="0.511811024" right="0.511811024" top="0.78740157499999996" bottom="0.78740157499999996" header="0.31496062000000002" footer="0.31496062000000002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Ceolin De Brito (Student at CentraleSupelec)</dc:creator>
  <cp:lastModifiedBy>Gabriel Ceolin De Brito (Student at CentraleSupelec)</cp:lastModifiedBy>
  <dcterms:created xsi:type="dcterms:W3CDTF">2025-05-16T10:23:07Z</dcterms:created>
  <dcterms:modified xsi:type="dcterms:W3CDTF">2026-01-25T15:38:51Z</dcterms:modified>
</cp:coreProperties>
</file>