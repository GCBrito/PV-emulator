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\Desktop\Stage_GeePs\PV-emulator\Tests Data\CanadianSolar CS6P-250P\Single-diode model\G = 765 W.m^-2 and T = 44.5 ºC\"/>
    </mc:Choice>
  </mc:AlternateContent>
  <xr:revisionPtr revIDLastSave="0" documentId="13_ncr:1_{3B49BC9F-75EB-4BF7-9B1F-0725037D276D}" xr6:coauthVersionLast="47" xr6:coauthVersionMax="47" xr10:uidLastSave="{00000000-0000-0000-0000-000000000000}"/>
  <bookViews>
    <workbookView xWindow="30570" yWindow="0" windowWidth="18825" windowHeight="15585" xr2:uid="{217CCB4B-160F-4504-987F-9C10DFEEC66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" i="1"/>
  <c r="G15" i="1"/>
  <c r="G13" i="1"/>
  <c r="C17" i="1"/>
  <c r="F17" i="1"/>
  <c r="G17" i="1"/>
  <c r="L17" i="1"/>
  <c r="C18" i="1"/>
  <c r="F18" i="1"/>
  <c r="G18" i="1"/>
  <c r="L18" i="1"/>
  <c r="C19" i="1"/>
  <c r="F19" i="1"/>
  <c r="G19" i="1"/>
  <c r="L19" i="1"/>
  <c r="L16" i="1"/>
  <c r="G16" i="1"/>
  <c r="F16" i="1"/>
  <c r="C16" i="1"/>
  <c r="G12" i="1"/>
  <c r="L9" i="1"/>
  <c r="G9" i="1"/>
  <c r="F9" i="1"/>
  <c r="C9" i="1"/>
  <c r="L6" i="1"/>
  <c r="G6" i="1"/>
  <c r="F6" i="1"/>
  <c r="C6" i="1"/>
  <c r="L2" i="1"/>
  <c r="G2" i="1"/>
  <c r="F2" i="1"/>
  <c r="C2" i="1"/>
  <c r="C3" i="1"/>
  <c r="L3" i="1"/>
  <c r="G3" i="1"/>
  <c r="F3" i="1"/>
  <c r="L5" i="1"/>
  <c r="L7" i="1"/>
  <c r="L8" i="1"/>
  <c r="L10" i="1"/>
  <c r="L11" i="1"/>
  <c r="L12" i="1"/>
  <c r="L13" i="1"/>
  <c r="L14" i="1"/>
  <c r="L15" i="1"/>
  <c r="L4" i="1"/>
  <c r="C15" i="1"/>
  <c r="F15" i="1"/>
  <c r="G14" i="1"/>
  <c r="F14" i="1"/>
  <c r="C14" i="1"/>
  <c r="G4" i="1"/>
  <c r="F4" i="1"/>
  <c r="C4" i="1"/>
  <c r="F5" i="1"/>
  <c r="G5" i="1"/>
  <c r="F7" i="1"/>
  <c r="G7" i="1"/>
  <c r="F8" i="1"/>
  <c r="G8" i="1"/>
  <c r="F10" i="1"/>
  <c r="G10" i="1"/>
  <c r="F11" i="1"/>
  <c r="G11" i="1"/>
  <c r="F12" i="1"/>
  <c r="F13" i="1"/>
  <c r="C7" i="1"/>
  <c r="C5" i="1"/>
  <c r="C8" i="1"/>
  <c r="C11" i="1"/>
  <c r="C12" i="1"/>
  <c r="C10" i="1"/>
  <c r="C13" i="1"/>
  <c r="O19" i="1" l="1"/>
  <c r="P19" i="1"/>
  <c r="O18" i="1"/>
  <c r="P18" i="1"/>
  <c r="O17" i="1"/>
  <c r="P17" i="1"/>
  <c r="O6" i="1"/>
  <c r="O9" i="1"/>
  <c r="P9" i="1"/>
  <c r="P6" i="1"/>
  <c r="O16" i="1"/>
  <c r="P16" i="1"/>
  <c r="O15" i="1"/>
  <c r="O2" i="1"/>
  <c r="P2" i="1"/>
  <c r="O3" i="1"/>
  <c r="P3" i="1"/>
  <c r="P14" i="1"/>
  <c r="P15" i="1"/>
  <c r="O14" i="1"/>
  <c r="O4" i="1"/>
  <c r="P4" i="1"/>
  <c r="P7" i="1"/>
  <c r="O7" i="1"/>
  <c r="O5" i="1"/>
  <c r="P5" i="1"/>
  <c r="O8" i="1"/>
  <c r="P8" i="1"/>
  <c r="P10" i="1"/>
  <c r="O11" i="1"/>
  <c r="P11" i="1"/>
  <c r="O12" i="1"/>
  <c r="P12" i="1"/>
  <c r="O10" i="1"/>
  <c r="P13" i="1"/>
  <c r="O13" i="1"/>
</calcChain>
</file>

<file path=xl/sharedStrings.xml><?xml version="1.0" encoding="utf-8"?>
<sst xmlns="http://schemas.openxmlformats.org/spreadsheetml/2006/main" count="16" uniqueCount="16">
  <si>
    <t>Vs_test</t>
  </si>
  <si>
    <t>Is_test</t>
  </si>
  <si>
    <t>Vs*</t>
  </si>
  <si>
    <t>Is*</t>
  </si>
  <si>
    <t>Vs (Volt)</t>
  </si>
  <si>
    <t>Is (Amp)</t>
  </si>
  <si>
    <t>Ve (alim)</t>
  </si>
  <si>
    <t>Ie (alim)</t>
  </si>
  <si>
    <t>Ps</t>
  </si>
  <si>
    <t>R*</t>
  </si>
  <si>
    <t xml:space="preserve">R </t>
  </si>
  <si>
    <t xml:space="preserve">Pe </t>
  </si>
  <si>
    <t>Rend. (%)</t>
  </si>
  <si>
    <t>R Error (%)</t>
  </si>
  <si>
    <t>Vs Error (%)</t>
  </si>
  <si>
    <t>Is Error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</si>
</sst>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2">
    <cellStyle name="Ênfase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8D570-ED79-418B-A1D1-0F000D275672}">
  <dimension ref="A1:P19"/>
  <sheetViews>
    <sheetView tabSelected="1" zoomScale="115" zoomScaleNormal="115" workbookViewId="0">
      <selection activeCell="H19" sqref="H19:L19"/>
    </sheetView>
  </sheetViews>
  <sheetFormatPr defaultColWidth="9.140625" defaultRowHeight="15" x14ac:dyDescent="0.25"/>
  <cols>
    <col min="5" max="5" width="8.5703125" customWidth="1"/>
  </cols>
  <sheetData>
    <row r="1" spans="1:16" s="2" customFormat="1" x14ac:dyDescent="0.25">
      <c r="A1" s="1" t="s">
        <v>6</v>
      </c>
      <c r="B1" s="1" t="s">
        <v>7</v>
      </c>
      <c r="C1" s="1" t="s">
        <v>11</v>
      </c>
      <c r="D1" s="1" t="s">
        <v>4</v>
      </c>
      <c r="E1" s="1" t="s">
        <v>5</v>
      </c>
      <c r="F1" s="1" t="s">
        <v>8</v>
      </c>
      <c r="G1" s="1" t="s">
        <v>10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9</v>
      </c>
      <c r="M1" s="1" t="s">
        <v>14</v>
      </c>
      <c r="N1" s="1" t="s">
        <v>15</v>
      </c>
      <c r="O1" s="1" t="s">
        <v>13</v>
      </c>
      <c r="P1" s="1" t="s">
        <v>12</v>
      </c>
    </row>
    <row r="2" spans="1:16" x14ac:dyDescent="0.25">
      <c r="A2">
        <v>60</v>
      </c>
      <c r="B2">
        <v>2.75</v>
      </c>
      <c r="C2">
        <f>A2*B2</f>
        <v>165</v>
      </c>
      <c r="D2">
        <v>22.24</v>
      </c>
      <c r="E2">
        <v>6.82</v>
      </c>
      <c r="F2">
        <f>D2*E2</f>
        <v>151.67679999999999</v>
      </c>
      <c r="G2">
        <f>D2/E2</f>
        <v>3.2609970674486801</v>
      </c>
      <c r="H2">
        <v>36.470618999999999</v>
      </c>
      <c r="I2">
        <v>10.97875</v>
      </c>
      <c r="J2">
        <v>22.642405</v>
      </c>
      <c r="K2">
        <v>6.8160420000000004</v>
      </c>
      <c r="L2">
        <f>J2/K2</f>
        <v>3.3219286207450009</v>
      </c>
      <c r="M2">
        <f>ABS(J2-D2)/D2*100</f>
        <v>1.8093750000000075</v>
      </c>
      <c r="N2">
        <f>ABS(K2-E2)/E2*100</f>
        <v>5.8035190615834398E-2</v>
      </c>
      <c r="O2">
        <f t="shared" ref="O2:O19" si="0">(ABS(L2-G2)/G2)*100</f>
        <v>1.8684945750040829</v>
      </c>
      <c r="P2">
        <f t="shared" ref="P2:P19" si="1">(F2/C2)*100</f>
        <v>91.925333333333327</v>
      </c>
    </row>
    <row r="3" spans="1:16" x14ac:dyDescent="0.25">
      <c r="A3">
        <v>60</v>
      </c>
      <c r="B3">
        <v>2.92</v>
      </c>
      <c r="C3">
        <f>A3*B3</f>
        <v>175.2</v>
      </c>
      <c r="D3">
        <v>22.96</v>
      </c>
      <c r="E3">
        <v>7.13</v>
      </c>
      <c r="F3">
        <f>D3*E3</f>
        <v>163.70480000000001</v>
      </c>
      <c r="G3">
        <f>D3/E3</f>
        <v>3.2201963534361853</v>
      </c>
      <c r="H3">
        <v>36.469147</v>
      </c>
      <c r="I3">
        <v>10.580584999999999</v>
      </c>
      <c r="J3">
        <v>23.414888000000001</v>
      </c>
      <c r="K3">
        <v>6.793228</v>
      </c>
      <c r="L3">
        <f>J3/K3</f>
        <v>3.4467984881414258</v>
      </c>
      <c r="M3">
        <f t="shared" ref="M3:M19" si="2">ABS(J3-D3)/D3*100</f>
        <v>1.9812195121951235</v>
      </c>
      <c r="N3">
        <f t="shared" ref="N3:N19" si="3">ABS(K3-E3)/E3*100</f>
        <v>4.7233099579242621</v>
      </c>
      <c r="O3">
        <f t="shared" si="0"/>
        <v>7.0369042702454907</v>
      </c>
      <c r="P3">
        <f t="shared" si="1"/>
        <v>93.438812785388137</v>
      </c>
    </row>
    <row r="4" spans="1:16" x14ac:dyDescent="0.25">
      <c r="A4">
        <v>60</v>
      </c>
      <c r="B4">
        <v>2.88</v>
      </c>
      <c r="C4">
        <f t="shared" ref="C4:C16" si="4">A2*B4</f>
        <v>172.79999999999998</v>
      </c>
      <c r="D4">
        <v>23.63</v>
      </c>
      <c r="E4">
        <v>6.86</v>
      </c>
      <c r="F4">
        <f>D4*E4</f>
        <v>162.1018</v>
      </c>
      <c r="G4">
        <f>D4/E4</f>
        <v>3.444606413994169</v>
      </c>
      <c r="H4">
        <v>36.011592999999998</v>
      </c>
      <c r="I4">
        <v>10.135595</v>
      </c>
      <c r="J4">
        <v>24.056635</v>
      </c>
      <c r="K4">
        <v>6.7708279999999998</v>
      </c>
      <c r="L4">
        <f>J4/K4</f>
        <v>3.5529827371187102</v>
      </c>
      <c r="M4">
        <f t="shared" si="2"/>
        <v>1.805480321625057</v>
      </c>
      <c r="N4">
        <f t="shared" si="3"/>
        <v>1.2998833819242051</v>
      </c>
      <c r="O4">
        <f t="shared" si="0"/>
        <v>3.1462614330696246</v>
      </c>
      <c r="P4">
        <f t="shared" si="1"/>
        <v>93.808912037037047</v>
      </c>
    </row>
    <row r="5" spans="1:16" x14ac:dyDescent="0.25">
      <c r="A5">
        <v>60</v>
      </c>
      <c r="B5">
        <v>2.97</v>
      </c>
      <c r="C5">
        <f t="shared" si="4"/>
        <v>178.20000000000002</v>
      </c>
      <c r="D5">
        <v>24.4</v>
      </c>
      <c r="E5" s="3">
        <v>6.85</v>
      </c>
      <c r="F5">
        <f>D5*E5</f>
        <v>167.14</v>
      </c>
      <c r="G5">
        <f>D5/E5</f>
        <v>3.562043795620438</v>
      </c>
      <c r="H5">
        <v>36.008194000000003</v>
      </c>
      <c r="I5">
        <v>9.7584610000000005</v>
      </c>
      <c r="J5">
        <v>24.833182999999998</v>
      </c>
      <c r="K5">
        <v>6.729959</v>
      </c>
      <c r="L5">
        <f t="shared" ref="L5:L15" si="5">J5/K5</f>
        <v>3.689945659401491</v>
      </c>
      <c r="M5">
        <f t="shared" si="2"/>
        <v>1.7753401639344251</v>
      </c>
      <c r="N5">
        <f t="shared" si="3"/>
        <v>1.7524233576642283</v>
      </c>
      <c r="O5">
        <f t="shared" si="0"/>
        <v>3.5906875692631663</v>
      </c>
      <c r="P5">
        <f t="shared" si="1"/>
        <v>93.793490460157116</v>
      </c>
    </row>
    <row r="6" spans="1:16" x14ac:dyDescent="0.25">
      <c r="A6">
        <v>60</v>
      </c>
      <c r="B6">
        <v>3.05</v>
      </c>
      <c r="C6">
        <f t="shared" si="4"/>
        <v>183</v>
      </c>
      <c r="D6">
        <v>25.42</v>
      </c>
      <c r="E6" s="3">
        <v>6.78</v>
      </c>
      <c r="F6">
        <f>D6*E6</f>
        <v>172.34760000000003</v>
      </c>
      <c r="G6">
        <f>D6/E6</f>
        <v>3.7492625368731565</v>
      </c>
      <c r="H6">
        <v>36.011218999999997</v>
      </c>
      <c r="I6">
        <v>9.2680140000000009</v>
      </c>
      <c r="J6">
        <v>25.833637</v>
      </c>
      <c r="K6">
        <v>6.6486640000000001</v>
      </c>
      <c r="L6">
        <f t="shared" ref="L6" si="6">J6/K6</f>
        <v>3.8855380569690392</v>
      </c>
      <c r="M6">
        <f t="shared" si="2"/>
        <v>1.6272108575924382</v>
      </c>
      <c r="N6">
        <f t="shared" si="3"/>
        <v>1.9371091445427746</v>
      </c>
      <c r="O6">
        <f t="shared" si="0"/>
        <v>3.634728663454307</v>
      </c>
      <c r="P6">
        <f t="shared" si="1"/>
        <v>94.179016393442637</v>
      </c>
    </row>
    <row r="7" spans="1:16" x14ac:dyDescent="0.25">
      <c r="A7">
        <v>60</v>
      </c>
      <c r="B7">
        <v>3.08</v>
      </c>
      <c r="C7">
        <f t="shared" si="4"/>
        <v>184.8</v>
      </c>
      <c r="D7">
        <v>26.31</v>
      </c>
      <c r="E7">
        <v>6.66</v>
      </c>
      <c r="F7">
        <f t="shared" ref="F7" si="7">D7*E7</f>
        <v>175.22459999999998</v>
      </c>
      <c r="G7">
        <f t="shared" ref="G7" si="8">D7/E7</f>
        <v>3.9504504504504503</v>
      </c>
      <c r="H7">
        <v>36.012985</v>
      </c>
      <c r="I7">
        <v>8.8198460000000001</v>
      </c>
      <c r="J7">
        <v>26.700890000000001</v>
      </c>
      <c r="K7">
        <v>6.5392450000000002</v>
      </c>
      <c r="L7">
        <f t="shared" si="5"/>
        <v>4.0831762688200239</v>
      </c>
      <c r="M7">
        <f t="shared" si="2"/>
        <v>1.4857088559483178</v>
      </c>
      <c r="N7">
        <f t="shared" si="3"/>
        <v>1.8131381381381373</v>
      </c>
      <c r="O7">
        <f t="shared" si="0"/>
        <v>3.3597641594122409</v>
      </c>
      <c r="P7">
        <f t="shared" si="1"/>
        <v>94.818506493506476</v>
      </c>
    </row>
    <row r="8" spans="1:16" x14ac:dyDescent="0.25">
      <c r="A8">
        <v>60</v>
      </c>
      <c r="B8">
        <v>3.11</v>
      </c>
      <c r="C8">
        <f t="shared" si="4"/>
        <v>186.6</v>
      </c>
      <c r="D8">
        <v>27.05</v>
      </c>
      <c r="E8">
        <v>6.56</v>
      </c>
      <c r="F8">
        <f>D8*E8</f>
        <v>177.44800000000001</v>
      </c>
      <c r="G8">
        <f t="shared" ref="G8:G12" si="9">D8/E8</f>
        <v>4.1234756097560981</v>
      </c>
      <c r="H8">
        <v>36.009430000000002</v>
      </c>
      <c r="I8">
        <v>8.417071</v>
      </c>
      <c r="J8">
        <v>27.416253999999999</v>
      </c>
      <c r="K8">
        <v>6.4084479999999999</v>
      </c>
      <c r="L8">
        <f t="shared" si="5"/>
        <v>4.2781425393480603</v>
      </c>
      <c r="M8">
        <f t="shared" si="2"/>
        <v>1.353988909426979</v>
      </c>
      <c r="N8">
        <f t="shared" si="3"/>
        <v>2.3102439024390198</v>
      </c>
      <c r="O8">
        <f t="shared" si="0"/>
        <v>3.7508874607145004</v>
      </c>
      <c r="P8">
        <f t="shared" si="1"/>
        <v>95.095391211146847</v>
      </c>
    </row>
    <row r="9" spans="1:16" x14ac:dyDescent="0.25">
      <c r="A9">
        <v>60</v>
      </c>
      <c r="B9">
        <v>3.1</v>
      </c>
      <c r="C9">
        <f t="shared" si="4"/>
        <v>186</v>
      </c>
      <c r="D9">
        <v>27.72</v>
      </c>
      <c r="E9">
        <v>6.37</v>
      </c>
      <c r="F9">
        <f>D9*E9</f>
        <v>176.57640000000001</v>
      </c>
      <c r="G9">
        <f t="shared" ref="G9" si="10">D9/E9</f>
        <v>4.3516483516483513</v>
      </c>
      <c r="H9">
        <v>36.009498999999998</v>
      </c>
      <c r="I9">
        <v>8.0225670000000004</v>
      </c>
      <c r="J9">
        <v>28.057870999999999</v>
      </c>
      <c r="K9">
        <v>6.2510209999999997</v>
      </c>
      <c r="L9">
        <f t="shared" ref="L9" si="11">J9/K9</f>
        <v>4.4885261143739559</v>
      </c>
      <c r="M9">
        <f t="shared" si="2"/>
        <v>1.2188708513708508</v>
      </c>
      <c r="N9">
        <f t="shared" si="3"/>
        <v>1.8678021978022037</v>
      </c>
      <c r="O9">
        <f t="shared" si="0"/>
        <v>3.1454233353611158</v>
      </c>
      <c r="P9">
        <f t="shared" si="1"/>
        <v>94.933548387096778</v>
      </c>
    </row>
    <row r="10" spans="1:16" x14ac:dyDescent="0.25">
      <c r="A10">
        <v>60</v>
      </c>
      <c r="B10">
        <v>3.05</v>
      </c>
      <c r="C10">
        <f t="shared" si="4"/>
        <v>183</v>
      </c>
      <c r="D10">
        <v>28.65</v>
      </c>
      <c r="E10">
        <v>6.07</v>
      </c>
      <c r="F10">
        <f>D10*E10</f>
        <v>173.90549999999999</v>
      </c>
      <c r="G10">
        <f>D10/E10</f>
        <v>4.7199341021416803</v>
      </c>
      <c r="H10">
        <v>36.011665000000001</v>
      </c>
      <c r="I10">
        <v>7.3940039999999998</v>
      </c>
      <c r="J10">
        <v>28.952494000000002</v>
      </c>
      <c r="K10">
        <v>5.9445969999999999</v>
      </c>
      <c r="L10">
        <f t="shared" si="5"/>
        <v>4.8703880178925507</v>
      </c>
      <c r="M10">
        <f t="shared" si="2"/>
        <v>1.0558254799302023</v>
      </c>
      <c r="N10">
        <f t="shared" si="3"/>
        <v>2.0659472817133504</v>
      </c>
      <c r="O10">
        <f t="shared" si="0"/>
        <v>3.1876274645995935</v>
      </c>
      <c r="P10">
        <f t="shared" si="1"/>
        <v>95.030327868852453</v>
      </c>
    </row>
    <row r="11" spans="1:16" x14ac:dyDescent="0.25">
      <c r="A11">
        <v>60</v>
      </c>
      <c r="B11">
        <v>2.94</v>
      </c>
      <c r="C11">
        <f t="shared" si="4"/>
        <v>176.4</v>
      </c>
      <c r="D11">
        <v>29.38</v>
      </c>
      <c r="E11">
        <v>5.71</v>
      </c>
      <c r="F11">
        <f>D11*E11</f>
        <v>167.75979999999998</v>
      </c>
      <c r="G11">
        <f t="shared" si="9"/>
        <v>5.1453590192644478</v>
      </c>
      <c r="H11">
        <v>36.014778</v>
      </c>
      <c r="I11">
        <v>6.8235749999999999</v>
      </c>
      <c r="J11">
        <v>29.632019</v>
      </c>
      <c r="K11">
        <v>5.6142589999999997</v>
      </c>
      <c r="L11">
        <f t="shared" si="5"/>
        <v>5.2779928749279295</v>
      </c>
      <c r="M11">
        <f t="shared" si="2"/>
        <v>0.85779101429544136</v>
      </c>
      <c r="N11">
        <f t="shared" si="3"/>
        <v>1.6767250437828425</v>
      </c>
      <c r="O11">
        <f t="shared" si="0"/>
        <v>2.5777376304917636</v>
      </c>
      <c r="P11">
        <f t="shared" si="1"/>
        <v>95.101927437641706</v>
      </c>
    </row>
    <row r="12" spans="1:16" x14ac:dyDescent="0.25">
      <c r="A12">
        <v>60</v>
      </c>
      <c r="B12">
        <v>2.79</v>
      </c>
      <c r="C12">
        <f t="shared" si="4"/>
        <v>167.4</v>
      </c>
      <c r="D12">
        <v>30.09</v>
      </c>
      <c r="E12">
        <v>5.32</v>
      </c>
      <c r="F12">
        <f>D12*E12</f>
        <v>160.0788</v>
      </c>
      <c r="G12">
        <f t="shared" si="9"/>
        <v>5.6560150375939848</v>
      </c>
      <c r="H12">
        <v>36.012031999999998</v>
      </c>
      <c r="I12">
        <v>6.1987610000000002</v>
      </c>
      <c r="J12">
        <v>30.294250000000002</v>
      </c>
      <c r="K12">
        <v>5.2145570000000001</v>
      </c>
      <c r="L12">
        <f t="shared" si="5"/>
        <v>5.8095539084144638</v>
      </c>
      <c r="M12">
        <f t="shared" si="2"/>
        <v>0.6787969425058219</v>
      </c>
      <c r="N12">
        <f t="shared" si="3"/>
        <v>1.9820112781954919</v>
      </c>
      <c r="O12">
        <f t="shared" si="0"/>
        <v>2.7146121394647666</v>
      </c>
      <c r="P12">
        <f t="shared" si="1"/>
        <v>95.626523297491033</v>
      </c>
    </row>
    <row r="13" spans="1:16" x14ac:dyDescent="0.25">
      <c r="A13">
        <v>60</v>
      </c>
      <c r="B13">
        <v>2.59</v>
      </c>
      <c r="C13">
        <f t="shared" si="4"/>
        <v>155.39999999999998</v>
      </c>
      <c r="D13">
        <v>30.52</v>
      </c>
      <c r="E13">
        <v>4.8499999999999996</v>
      </c>
      <c r="F13">
        <f t="shared" ref="F13:F14" si="12">D13*E13</f>
        <v>148.02199999999999</v>
      </c>
      <c r="G13">
        <f>D13/E13</f>
        <v>6.2927835051546399</v>
      </c>
      <c r="H13">
        <v>36.012630000000001</v>
      </c>
      <c r="I13">
        <v>5.7442089999999997</v>
      </c>
      <c r="J13">
        <v>30.687252000000001</v>
      </c>
      <c r="K13">
        <v>4.8947830000000003</v>
      </c>
      <c r="L13">
        <f t="shared" si="5"/>
        <v>6.269379459722729</v>
      </c>
      <c r="M13">
        <f t="shared" si="2"/>
        <v>0.54800786369594134</v>
      </c>
      <c r="N13">
        <f t="shared" si="3"/>
        <v>0.9233608247422822</v>
      </c>
      <c r="O13">
        <f t="shared" si="0"/>
        <v>0.37191880846909486</v>
      </c>
      <c r="P13">
        <f t="shared" si="1"/>
        <v>95.252252252252262</v>
      </c>
    </row>
    <row r="14" spans="1:16" x14ac:dyDescent="0.25">
      <c r="A14">
        <v>60</v>
      </c>
      <c r="B14">
        <v>2.54</v>
      </c>
      <c r="C14">
        <f t="shared" si="4"/>
        <v>152.4</v>
      </c>
      <c r="D14">
        <v>30.84</v>
      </c>
      <c r="E14">
        <v>4.6900000000000004</v>
      </c>
      <c r="F14">
        <f t="shared" si="12"/>
        <v>144.6396</v>
      </c>
      <c r="G14">
        <f>D14/E14</f>
        <v>6.5756929637526644</v>
      </c>
      <c r="H14">
        <v>36.012844000000001</v>
      </c>
      <c r="I14">
        <v>5.4196600000000004</v>
      </c>
      <c r="J14">
        <v>30.963587</v>
      </c>
      <c r="K14">
        <v>4.6597850000000003</v>
      </c>
      <c r="L14">
        <f t="shared" si="5"/>
        <v>6.64485314236601</v>
      </c>
      <c r="M14">
        <f t="shared" si="2"/>
        <v>0.40073605706874371</v>
      </c>
      <c r="N14">
        <f t="shared" si="3"/>
        <v>0.64424307036247552</v>
      </c>
      <c r="O14">
        <f t="shared" si="0"/>
        <v>1.051754986046014</v>
      </c>
      <c r="P14">
        <f t="shared" si="1"/>
        <v>94.907874015748035</v>
      </c>
    </row>
    <row r="15" spans="1:16" x14ac:dyDescent="0.25">
      <c r="A15">
        <v>60</v>
      </c>
      <c r="B15">
        <v>2.36</v>
      </c>
      <c r="C15">
        <f t="shared" si="4"/>
        <v>141.6</v>
      </c>
      <c r="D15">
        <v>31.33</v>
      </c>
      <c r="E15">
        <v>4.3</v>
      </c>
      <c r="F15">
        <f t="shared" ref="F15" si="13">D15*E15</f>
        <v>134.71899999999999</v>
      </c>
      <c r="G15">
        <f>D15/E15</f>
        <v>7.286046511627907</v>
      </c>
      <c r="H15">
        <v>36.013351</v>
      </c>
      <c r="I15">
        <v>4.8856070000000003</v>
      </c>
      <c r="J15">
        <v>31.429310000000001</v>
      </c>
      <c r="K15">
        <v>4.2637309999999999</v>
      </c>
      <c r="L15">
        <f t="shared" si="5"/>
        <v>7.3713163424240413</v>
      </c>
      <c r="M15">
        <f t="shared" si="2"/>
        <v>0.31698052984360892</v>
      </c>
      <c r="N15">
        <f t="shared" si="3"/>
        <v>0.84346511627906717</v>
      </c>
      <c r="O15">
        <f t="shared" si="0"/>
        <v>1.170316860591694</v>
      </c>
      <c r="P15">
        <f t="shared" si="1"/>
        <v>95.140536723163834</v>
      </c>
    </row>
    <row r="16" spans="1:16" x14ac:dyDescent="0.25">
      <c r="A16">
        <v>60</v>
      </c>
      <c r="B16">
        <v>2.02</v>
      </c>
      <c r="C16">
        <f t="shared" si="4"/>
        <v>121.2</v>
      </c>
      <c r="D16">
        <v>31.87</v>
      </c>
      <c r="E16">
        <v>3.58</v>
      </c>
      <c r="F16">
        <f>D16*E16</f>
        <v>114.0946</v>
      </c>
      <c r="G16">
        <f t="shared" ref="G16:G19" si="14">D16/E16</f>
        <v>8.9022346368715084</v>
      </c>
      <c r="H16">
        <v>36.014510999999999</v>
      </c>
      <c r="I16">
        <v>4.0447050000000004</v>
      </c>
      <c r="J16">
        <v>31.895897000000001</v>
      </c>
      <c r="K16">
        <v>3.5821529999999999</v>
      </c>
      <c r="L16">
        <f t="shared" ref="L16:L19" si="15">J16/K16</f>
        <v>8.9041135317224036</v>
      </c>
      <c r="M16">
        <f t="shared" si="2"/>
        <v>8.1258236586132723E-2</v>
      </c>
      <c r="N16">
        <f t="shared" si="3"/>
        <v>6.0139664804465059E-2</v>
      </c>
      <c r="O16">
        <f t="shared" si="0"/>
        <v>2.1105878776921376E-2</v>
      </c>
      <c r="P16">
        <f t="shared" si="1"/>
        <v>94.137458745874582</v>
      </c>
    </row>
    <row r="17" spans="1:16" x14ac:dyDescent="0.25">
      <c r="A17">
        <v>60</v>
      </c>
      <c r="B17">
        <v>1.53</v>
      </c>
      <c r="C17">
        <f t="shared" ref="C17:C19" si="16">A15*B17</f>
        <v>91.8</v>
      </c>
      <c r="D17">
        <v>32.56</v>
      </c>
      <c r="E17">
        <v>2.63</v>
      </c>
      <c r="F17">
        <f t="shared" ref="F17:F19" si="17">D17*E17</f>
        <v>85.632800000000003</v>
      </c>
      <c r="G17">
        <f t="shared" si="14"/>
        <v>12.380228136882131</v>
      </c>
      <c r="H17">
        <v>36.019165000000001</v>
      </c>
      <c r="I17">
        <v>2.9405770000000002</v>
      </c>
      <c r="J17">
        <v>32.502819000000002</v>
      </c>
      <c r="K17">
        <v>2.653505</v>
      </c>
      <c r="L17">
        <f t="shared" si="15"/>
        <v>12.249013663060746</v>
      </c>
      <c r="M17">
        <f t="shared" si="2"/>
        <v>0.17561732186732162</v>
      </c>
      <c r="N17">
        <f t="shared" si="3"/>
        <v>0.89372623574144905</v>
      </c>
      <c r="O17">
        <f t="shared" si="0"/>
        <v>1.059871210535148</v>
      </c>
      <c r="P17">
        <f t="shared" si="1"/>
        <v>93.281917211328974</v>
      </c>
    </row>
    <row r="18" spans="1:16" x14ac:dyDescent="0.25">
      <c r="A18">
        <v>60</v>
      </c>
      <c r="B18">
        <v>0.81</v>
      </c>
      <c r="C18">
        <f t="shared" si="16"/>
        <v>48.6</v>
      </c>
      <c r="D18">
        <v>33.51</v>
      </c>
      <c r="E18">
        <v>1.31</v>
      </c>
      <c r="F18">
        <f t="shared" si="17"/>
        <v>43.898099999999999</v>
      </c>
      <c r="G18">
        <f t="shared" si="14"/>
        <v>25.580152671755723</v>
      </c>
      <c r="H18">
        <v>36.026187999999998</v>
      </c>
      <c r="I18">
        <v>1.5182819999999999</v>
      </c>
      <c r="J18">
        <v>33.319305</v>
      </c>
      <c r="K18">
        <v>1.404204</v>
      </c>
      <c r="L18">
        <f t="shared" si="15"/>
        <v>23.728251023355579</v>
      </c>
      <c r="M18">
        <f t="shared" si="2"/>
        <v>0.56906893464636843</v>
      </c>
      <c r="N18">
        <f t="shared" si="3"/>
        <v>7.191145038167936</v>
      </c>
      <c r="O18">
        <f t="shared" si="0"/>
        <v>7.2396035792425817</v>
      </c>
      <c r="P18">
        <f t="shared" si="1"/>
        <v>90.325308641975312</v>
      </c>
    </row>
    <row r="19" spans="1:16" x14ac:dyDescent="0.25">
      <c r="A19">
        <v>60</v>
      </c>
      <c r="B19">
        <v>0.15</v>
      </c>
      <c r="C19">
        <f t="shared" si="16"/>
        <v>9</v>
      </c>
      <c r="D19">
        <v>34.35</v>
      </c>
      <c r="E19">
        <v>0.08</v>
      </c>
      <c r="F19">
        <f t="shared" si="17"/>
        <v>2.7480000000000002</v>
      </c>
      <c r="G19">
        <f t="shared" si="14"/>
        <v>429.375</v>
      </c>
      <c r="H19">
        <v>36.040680000000002</v>
      </c>
      <c r="I19">
        <v>0.27150299999999999</v>
      </c>
      <c r="J19">
        <v>34.069290000000002</v>
      </c>
      <c r="K19">
        <v>0.25665199999999999</v>
      </c>
      <c r="L19">
        <f t="shared" si="15"/>
        <v>132.74507893957579</v>
      </c>
      <c r="M19">
        <f t="shared" si="2"/>
        <v>0.81720524017466989</v>
      </c>
      <c r="N19">
        <f t="shared" si="3"/>
        <v>220.815</v>
      </c>
      <c r="O19">
        <f t="shared" si="0"/>
        <v>69.084115530812042</v>
      </c>
      <c r="P19">
        <f t="shared" si="1"/>
        <v>30.533333333333335</v>
      </c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Ceolin De Brito (Student at CentraleSupelec)</dc:creator>
  <cp:lastModifiedBy>Gabriel Ceolin De Brito (Student at CentraleSupelec)</cp:lastModifiedBy>
  <dcterms:created xsi:type="dcterms:W3CDTF">2025-05-16T10:23:07Z</dcterms:created>
  <dcterms:modified xsi:type="dcterms:W3CDTF">2026-03-09T15:06:18Z</dcterms:modified>
</cp:coreProperties>
</file>