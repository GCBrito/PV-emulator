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Kyocera KC85TS\Single diode model\G = 400 W.m^-2 and T = 25ºC\R+L load\"/>
    </mc:Choice>
  </mc:AlternateContent>
  <xr:revisionPtr revIDLastSave="0" documentId="13_ncr:1_{C2B3A28B-72A6-4996-BD8C-895CF326FA7E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M18" i="1"/>
  <c r="L18" i="1"/>
  <c r="O18" i="1" s="1"/>
  <c r="G18" i="1"/>
  <c r="F18" i="1"/>
  <c r="P18" i="1" s="1"/>
  <c r="C18" i="1"/>
  <c r="N19" i="1"/>
  <c r="M19" i="1"/>
  <c r="L19" i="1"/>
  <c r="O19" i="1" s="1"/>
  <c r="G19" i="1"/>
  <c r="F19" i="1"/>
  <c r="P19" i="1" s="1"/>
  <c r="C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  <c r="G15" i="1"/>
  <c r="G13" i="1"/>
  <c r="C17" i="1"/>
  <c r="F17" i="1"/>
  <c r="G17" i="1"/>
  <c r="L17" i="1"/>
  <c r="L16" i="1"/>
  <c r="G16" i="1"/>
  <c r="F16" i="1"/>
  <c r="C16" i="1"/>
  <c r="G12" i="1"/>
  <c r="L9" i="1"/>
  <c r="G9" i="1"/>
  <c r="F9" i="1"/>
  <c r="C9" i="1"/>
  <c r="L6" i="1"/>
  <c r="G6" i="1"/>
  <c r="F6" i="1"/>
  <c r="C6" i="1"/>
  <c r="L2" i="1"/>
  <c r="G2" i="1"/>
  <c r="F2" i="1"/>
  <c r="C2" i="1"/>
  <c r="C3" i="1"/>
  <c r="L3" i="1"/>
  <c r="G3" i="1"/>
  <c r="F3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17" i="1" l="1"/>
  <c r="P17" i="1"/>
  <c r="O6" i="1"/>
  <c r="O9" i="1"/>
  <c r="P9" i="1"/>
  <c r="P6" i="1"/>
  <c r="O16" i="1"/>
  <c r="P16" i="1"/>
  <c r="O15" i="1"/>
  <c r="O2" i="1"/>
  <c r="P2" i="1"/>
  <c r="O3" i="1"/>
  <c r="P3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<sst xmlns="http://schemas.openxmlformats.org/spreadsheetml/2006/main" count="16" uniqueCount="16">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</sst>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9"/>
  <sheetViews>
    <sheetView tabSelected="1" zoomScale="115" zoomScaleNormal="115" workbookViewId="0">
      <selection activeCell="H17" sqref="H17:L17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0.3</v>
      </c>
      <c r="C2">
        <f>A2*B2</f>
        <v>18</v>
      </c>
      <c r="D2">
        <v>5.08</v>
      </c>
      <c r="E2">
        <v>2.14</v>
      </c>
      <c r="F2">
        <f>D2*E2</f>
        <v>10.8712</v>
      </c>
      <c r="G2">
        <f>D2/E2</f>
        <v>2.3738317757009346</v>
      </c>
      <c r="H2">
        <v>22.491859000000002</v>
      </c>
      <c r="I2">
        <v>8.8391520000000003</v>
      </c>
      <c r="J2">
        <v>5.4229810000000001</v>
      </c>
      <c r="K2">
        <v>2.1311960000000001</v>
      </c>
      <c r="L2">
        <f>J2/K2</f>
        <v>2.5445716865084207</v>
      </c>
      <c r="M2">
        <f>ABS(J2-D2)/D2*100</f>
        <v>6.7515944881889762</v>
      </c>
      <c r="N2">
        <f>ABS(K2-E2)/E2*100</f>
        <v>0.41140186915888005</v>
      </c>
      <c r="O2">
        <f t="shared" ref="O2:O19" si="0">(ABS(L2-G2)/G2)*100</f>
        <v>7.1925867938586654</v>
      </c>
      <c r="P2">
        <f t="shared" ref="P2:P19" si="1">(F2/C2)*100</f>
        <v>60.395555555555561</v>
      </c>
    </row>
    <row r="3" spans="1:16" x14ac:dyDescent="0.25">
      <c r="A3">
        <v>60</v>
      </c>
      <c r="B3">
        <v>0.46</v>
      </c>
      <c r="C3">
        <f>A3*B3</f>
        <v>27.6</v>
      </c>
      <c r="D3">
        <v>9.83</v>
      </c>
      <c r="E3">
        <v>2.09</v>
      </c>
      <c r="F3">
        <f>D3*E3</f>
        <v>20.544699999999999</v>
      </c>
      <c r="G3">
        <f>D3/E3</f>
        <v>4.7033492822966512</v>
      </c>
      <c r="H3">
        <v>22.785050999999999</v>
      </c>
      <c r="I3">
        <v>4.6931900000000004</v>
      </c>
      <c r="J3">
        <v>10.325286999999999</v>
      </c>
      <c r="K3">
        <v>2.1267680000000002</v>
      </c>
      <c r="L3">
        <f>J3/K3</f>
        <v>4.8549192953815359</v>
      </c>
      <c r="M3">
        <f t="shared" ref="M3:M19" si="2">ABS(J3-D3)/D3*100</f>
        <v>5.0385249237029441</v>
      </c>
      <c r="N3">
        <f t="shared" ref="N3:N19" si="3">ABS(K3-E3)/E3*100</f>
        <v>1.7592344497607826</v>
      </c>
      <c r="O3">
        <f t="shared" si="0"/>
        <v>3.2225974297803566</v>
      </c>
      <c r="P3">
        <f t="shared" si="1"/>
        <v>74.437318840579707</v>
      </c>
    </row>
    <row r="4" spans="1:16" x14ac:dyDescent="0.25">
      <c r="A4">
        <v>60</v>
      </c>
      <c r="B4">
        <v>0.54</v>
      </c>
      <c r="C4">
        <f t="shared" ref="C4:C16" si="4">A2*B4</f>
        <v>32.400000000000006</v>
      </c>
      <c r="D4">
        <v>11.96</v>
      </c>
      <c r="E4">
        <v>2.09</v>
      </c>
      <c r="F4">
        <f>D4*E4</f>
        <v>24.996400000000001</v>
      </c>
      <c r="G4">
        <f>D4/E4</f>
        <v>5.722488038277513</v>
      </c>
      <c r="H4">
        <v>22.491726</v>
      </c>
      <c r="I4">
        <v>3.834816</v>
      </c>
      <c r="J4">
        <v>12.457455</v>
      </c>
      <c r="K4">
        <v>2.123983</v>
      </c>
      <c r="L4">
        <f>J4/K4</f>
        <v>5.8651387511105311</v>
      </c>
      <c r="M4">
        <f t="shared" si="2"/>
        <v>4.1593227424749042</v>
      </c>
      <c r="N4">
        <f t="shared" si="3"/>
        <v>1.6259808612440239</v>
      </c>
      <c r="O4">
        <f t="shared" si="0"/>
        <v>2.4928092794398649</v>
      </c>
      <c r="P4">
        <f t="shared" si="1"/>
        <v>77.149382716049374</v>
      </c>
    </row>
    <row r="5" spans="1:16" x14ac:dyDescent="0.25">
      <c r="A5">
        <v>60</v>
      </c>
      <c r="B5">
        <v>0.57999999999999996</v>
      </c>
      <c r="C5">
        <f t="shared" si="4"/>
        <v>34.799999999999997</v>
      </c>
      <c r="D5">
        <v>13.25</v>
      </c>
      <c r="E5" s="3">
        <v>2.0699999999999998</v>
      </c>
      <c r="F5">
        <f>D5*E5</f>
        <v>27.427499999999998</v>
      </c>
      <c r="G5">
        <f>D5/E5</f>
        <v>6.4009661835748801</v>
      </c>
      <c r="H5">
        <v>22.494526</v>
      </c>
      <c r="I5">
        <v>3.4821040000000001</v>
      </c>
      <c r="J5">
        <v>13.701180000000001</v>
      </c>
      <c r="K5">
        <v>2.1209129999999998</v>
      </c>
      <c r="L5">
        <f t="shared" ref="L5:L15" si="5">J5/K5</f>
        <v>6.4600386720247371</v>
      </c>
      <c r="M5">
        <f t="shared" si="2"/>
        <v>3.405132075471704</v>
      </c>
      <c r="N5">
        <f t="shared" si="3"/>
        <v>2.4595652173913041</v>
      </c>
      <c r="O5">
        <f t="shared" si="0"/>
        <v>0.92286831012229442</v>
      </c>
      <c r="P5">
        <f t="shared" si="1"/>
        <v>78.814655172413794</v>
      </c>
    </row>
    <row r="6" spans="1:16" x14ac:dyDescent="0.25">
      <c r="A6">
        <v>60</v>
      </c>
      <c r="B6">
        <v>0.63</v>
      </c>
      <c r="C6">
        <f t="shared" si="4"/>
        <v>37.799999999999997</v>
      </c>
      <c r="D6">
        <v>14.66</v>
      </c>
      <c r="E6" s="3">
        <v>2.06</v>
      </c>
      <c r="F6">
        <f>D6*E6</f>
        <v>30.1996</v>
      </c>
      <c r="G6">
        <f>D6/E6</f>
        <v>7.116504854368932</v>
      </c>
      <c r="H6">
        <v>22.493938</v>
      </c>
      <c r="I6">
        <v>3.150763</v>
      </c>
      <c r="J6">
        <v>15.073689</v>
      </c>
      <c r="K6">
        <v>2.1113960000000001</v>
      </c>
      <c r="L6">
        <f t="shared" ref="L6" si="6">J6/K6</f>
        <v>7.1392050567491836</v>
      </c>
      <c r="M6">
        <f t="shared" si="2"/>
        <v>2.8218894952251006</v>
      </c>
      <c r="N6">
        <f t="shared" si="3"/>
        <v>2.4949514563106794</v>
      </c>
      <c r="O6">
        <f t="shared" si="0"/>
        <v>0.31897965145510448</v>
      </c>
      <c r="P6">
        <f t="shared" si="1"/>
        <v>79.893121693121699</v>
      </c>
    </row>
    <row r="7" spans="1:16" x14ac:dyDescent="0.25">
      <c r="A7">
        <v>60</v>
      </c>
      <c r="B7">
        <v>0.64</v>
      </c>
      <c r="C7">
        <f t="shared" si="4"/>
        <v>38.4</v>
      </c>
      <c r="D7">
        <v>15.27</v>
      </c>
      <c r="E7">
        <v>2.0499999999999998</v>
      </c>
      <c r="F7">
        <f t="shared" ref="F7" si="7">D7*E7</f>
        <v>31.303499999999996</v>
      </c>
      <c r="G7">
        <f t="shared" ref="G7" si="8">D7/E7</f>
        <v>7.4487804878048784</v>
      </c>
      <c r="H7">
        <v>22.496943000000002</v>
      </c>
      <c r="I7">
        <v>3.016575</v>
      </c>
      <c r="J7">
        <v>15.675177</v>
      </c>
      <c r="K7">
        <v>2.1018560000000002</v>
      </c>
      <c r="L7">
        <f t="shared" si="5"/>
        <v>7.4577787441194818</v>
      </c>
      <c r="M7">
        <f t="shared" si="2"/>
        <v>2.653418467583498</v>
      </c>
      <c r="N7">
        <f t="shared" si="3"/>
        <v>2.5295609756097734</v>
      </c>
      <c r="O7">
        <f t="shared" si="0"/>
        <v>0.12080173834274348</v>
      </c>
      <c r="P7">
        <f t="shared" si="1"/>
        <v>81.519531249999986</v>
      </c>
    </row>
    <row r="8" spans="1:16" x14ac:dyDescent="0.25">
      <c r="A8">
        <v>60</v>
      </c>
      <c r="B8">
        <v>0.65</v>
      </c>
      <c r="C8">
        <f t="shared" si="4"/>
        <v>39</v>
      </c>
      <c r="D8">
        <v>15.67</v>
      </c>
      <c r="E8">
        <v>2.0299999999999998</v>
      </c>
      <c r="F8">
        <f>D8*E8</f>
        <v>31.810099999999998</v>
      </c>
      <c r="G8">
        <f t="shared" ref="G8:G12" si="9">D8/E8</f>
        <v>7.7192118226600996</v>
      </c>
      <c r="H8">
        <v>22.492146999999999</v>
      </c>
      <c r="I8">
        <v>2.923689</v>
      </c>
      <c r="J8">
        <v>16.085083000000001</v>
      </c>
      <c r="K8">
        <v>2.0908540000000002</v>
      </c>
      <c r="L8">
        <f t="shared" si="5"/>
        <v>7.6930684782390353</v>
      </c>
      <c r="M8">
        <f t="shared" si="2"/>
        <v>2.6489023611997506</v>
      </c>
      <c r="N8">
        <f t="shared" si="3"/>
        <v>2.9977339901478035</v>
      </c>
      <c r="O8">
        <f t="shared" si="0"/>
        <v>0.33867893538456062</v>
      </c>
      <c r="P8">
        <f t="shared" si="1"/>
        <v>81.564358974358981</v>
      </c>
    </row>
    <row r="9" spans="1:16" x14ac:dyDescent="0.25">
      <c r="A9">
        <v>60</v>
      </c>
      <c r="B9">
        <v>0.66</v>
      </c>
      <c r="C9">
        <f t="shared" si="4"/>
        <v>39.6</v>
      </c>
      <c r="D9">
        <v>16.04</v>
      </c>
      <c r="E9">
        <v>2.0299999999999998</v>
      </c>
      <c r="F9">
        <f>D9*E9</f>
        <v>32.561199999999992</v>
      </c>
      <c r="G9">
        <f t="shared" ref="G9" si="10">D9/E9</f>
        <v>7.9014778325123158</v>
      </c>
      <c r="H9">
        <v>22.493511000000002</v>
      </c>
      <c r="I9">
        <v>2.841831</v>
      </c>
      <c r="J9">
        <v>16.439855999999999</v>
      </c>
      <c r="K9">
        <v>2.0770119999999999</v>
      </c>
      <c r="L9">
        <f t="shared" ref="L9" si="11">J9/K9</f>
        <v>7.9151473366547718</v>
      </c>
      <c r="M9">
        <f t="shared" si="2"/>
        <v>2.4928678304239389</v>
      </c>
      <c r="N9">
        <f t="shared" si="3"/>
        <v>2.31586206896552</v>
      </c>
      <c r="O9">
        <f t="shared" si="0"/>
        <v>0.17299933546873783</v>
      </c>
      <c r="P9">
        <f t="shared" si="1"/>
        <v>82.2252525252525</v>
      </c>
    </row>
    <row r="10" spans="1:16" x14ac:dyDescent="0.25">
      <c r="A10">
        <v>60</v>
      </c>
      <c r="B10">
        <v>0.67</v>
      </c>
      <c r="C10">
        <f t="shared" si="4"/>
        <v>40.200000000000003</v>
      </c>
      <c r="D10">
        <v>16.579999999999998</v>
      </c>
      <c r="E10">
        <v>1.98</v>
      </c>
      <c r="F10">
        <f>D10*E10</f>
        <v>32.828399999999995</v>
      </c>
      <c r="G10">
        <f>D10/E10</f>
        <v>8.3737373737373737</v>
      </c>
      <c r="H10">
        <v>22.493787999999999</v>
      </c>
      <c r="I10">
        <v>2.7113100000000001</v>
      </c>
      <c r="J10">
        <v>16.966587000000001</v>
      </c>
      <c r="K10">
        <v>2.0450840000000001</v>
      </c>
      <c r="L10">
        <f t="shared" si="5"/>
        <v>8.2962787836587637</v>
      </c>
      <c r="M10">
        <f t="shared" si="2"/>
        <v>2.3316465621230535</v>
      </c>
      <c r="N10">
        <f t="shared" si="3"/>
        <v>3.2870707070707139</v>
      </c>
      <c r="O10">
        <f t="shared" si="0"/>
        <v>0.92501814448520991</v>
      </c>
      <c r="P10">
        <f t="shared" si="1"/>
        <v>81.662686567164158</v>
      </c>
    </row>
    <row r="11" spans="1:16" x14ac:dyDescent="0.25">
      <c r="A11">
        <v>60</v>
      </c>
      <c r="B11">
        <v>0.67</v>
      </c>
      <c r="C11">
        <f t="shared" si="4"/>
        <v>40.200000000000003</v>
      </c>
      <c r="D11">
        <v>16.97</v>
      </c>
      <c r="E11">
        <v>1.96</v>
      </c>
      <c r="F11">
        <f>D11*E11</f>
        <v>33.261199999999995</v>
      </c>
      <c r="G11">
        <f t="shared" si="9"/>
        <v>8.658163265306122</v>
      </c>
      <c r="H11">
        <v>22.492806999999999</v>
      </c>
      <c r="I11">
        <v>2.604371</v>
      </c>
      <c r="J11">
        <v>17.350944999999999</v>
      </c>
      <c r="K11">
        <v>2.0090110000000001</v>
      </c>
      <c r="L11">
        <f t="shared" si="5"/>
        <v>8.6365604767719031</v>
      </c>
      <c r="M11">
        <f t="shared" si="2"/>
        <v>2.2448143783146763</v>
      </c>
      <c r="N11">
        <f t="shared" si="3"/>
        <v>2.500561224489803</v>
      </c>
      <c r="O11">
        <f t="shared" si="0"/>
        <v>0.24950775207465592</v>
      </c>
      <c r="P11">
        <f t="shared" si="1"/>
        <v>82.739303482587047</v>
      </c>
    </row>
    <row r="12" spans="1:16" x14ac:dyDescent="0.25">
      <c r="A12">
        <v>60</v>
      </c>
      <c r="B12">
        <v>0.66</v>
      </c>
      <c r="C12">
        <f t="shared" si="4"/>
        <v>39.6</v>
      </c>
      <c r="D12">
        <v>17.48</v>
      </c>
      <c r="E12">
        <v>1.85</v>
      </c>
      <c r="F12">
        <f>D12*E12</f>
        <v>32.338000000000001</v>
      </c>
      <c r="G12">
        <f t="shared" si="9"/>
        <v>9.4486486486486481</v>
      </c>
      <c r="H12">
        <v>22.494133000000001</v>
      </c>
      <c r="I12">
        <v>2.4527999999999999</v>
      </c>
      <c r="J12">
        <v>17.817668999999999</v>
      </c>
      <c r="K12">
        <v>1.9428700000000001</v>
      </c>
      <c r="L12">
        <f t="shared" si="5"/>
        <v>9.1707983550108843</v>
      </c>
      <c r="M12">
        <f t="shared" si="2"/>
        <v>1.9317448512585711</v>
      </c>
      <c r="N12">
        <f t="shared" si="3"/>
        <v>5.0200000000000005</v>
      </c>
      <c r="O12">
        <f t="shared" si="0"/>
        <v>2.940635258752077</v>
      </c>
      <c r="P12">
        <f t="shared" si="1"/>
        <v>81.661616161616152</v>
      </c>
    </row>
    <row r="13" spans="1:16" x14ac:dyDescent="0.25">
      <c r="A13">
        <v>60</v>
      </c>
      <c r="B13">
        <v>0.65</v>
      </c>
      <c r="C13">
        <f t="shared" si="4"/>
        <v>39</v>
      </c>
      <c r="D13">
        <v>17.95</v>
      </c>
      <c r="E13">
        <v>1.78</v>
      </c>
      <c r="F13">
        <f t="shared" ref="F13:F14" si="12">D13*E13</f>
        <v>31.951000000000001</v>
      </c>
      <c r="G13">
        <f>D13/E13</f>
        <v>10.084269662921347</v>
      </c>
      <c r="H13">
        <v>22.494323999999999</v>
      </c>
      <c r="I13">
        <v>2.2673649999999999</v>
      </c>
      <c r="J13">
        <v>18.280349999999999</v>
      </c>
      <c r="K13">
        <v>1.842608</v>
      </c>
      <c r="L13">
        <f t="shared" si="5"/>
        <v>9.9209110130857994</v>
      </c>
      <c r="M13">
        <f t="shared" si="2"/>
        <v>1.8403899721448427</v>
      </c>
      <c r="N13">
        <f t="shared" si="3"/>
        <v>3.5173033707865167</v>
      </c>
      <c r="O13">
        <f t="shared" si="0"/>
        <v>1.6199353577006963</v>
      </c>
      <c r="P13">
        <f t="shared" si="1"/>
        <v>81.925641025641028</v>
      </c>
    </row>
    <row r="14" spans="1:16" x14ac:dyDescent="0.25">
      <c r="A14">
        <v>60</v>
      </c>
      <c r="B14">
        <v>0.61</v>
      </c>
      <c r="C14">
        <f t="shared" si="4"/>
        <v>36.6</v>
      </c>
      <c r="D14">
        <v>18.41</v>
      </c>
      <c r="E14">
        <v>1.64</v>
      </c>
      <c r="F14">
        <f t="shared" si="12"/>
        <v>30.192399999999999</v>
      </c>
      <c r="G14">
        <f>D14/E14</f>
        <v>11.225609756097562</v>
      </c>
      <c r="H14">
        <v>22.494551000000001</v>
      </c>
      <c r="I14">
        <v>2.0613299999999999</v>
      </c>
      <c r="J14">
        <v>18.678190000000001</v>
      </c>
      <c r="K14">
        <v>1.711611</v>
      </c>
      <c r="L14">
        <f t="shared" si="5"/>
        <v>10.912637275642656</v>
      </c>
      <c r="M14">
        <f t="shared" si="2"/>
        <v>1.4567626290059783</v>
      </c>
      <c r="N14">
        <f t="shared" si="3"/>
        <v>4.3665243902439084</v>
      </c>
      <c r="O14">
        <f t="shared" si="0"/>
        <v>2.7880220963935161</v>
      </c>
      <c r="P14">
        <f t="shared" si="1"/>
        <v>82.49289617486339</v>
      </c>
    </row>
    <row r="15" spans="1:16" x14ac:dyDescent="0.25">
      <c r="A15">
        <v>60</v>
      </c>
      <c r="B15">
        <v>0.55000000000000004</v>
      </c>
      <c r="C15">
        <f t="shared" si="4"/>
        <v>33</v>
      </c>
      <c r="D15">
        <v>18.84</v>
      </c>
      <c r="E15">
        <v>1.45</v>
      </c>
      <c r="F15">
        <f t="shared" ref="F15" si="13">D15*E15</f>
        <v>27.317999999999998</v>
      </c>
      <c r="G15">
        <f>D15/E15</f>
        <v>12.993103448275862</v>
      </c>
      <c r="H15">
        <v>22.500011000000001</v>
      </c>
      <c r="I15">
        <v>1.8166580000000001</v>
      </c>
      <c r="J15">
        <v>19.048414000000001</v>
      </c>
      <c r="K15">
        <v>1.5379750000000001</v>
      </c>
      <c r="L15">
        <f t="shared" si="5"/>
        <v>12.385385978315643</v>
      </c>
      <c r="M15">
        <f t="shared" si="2"/>
        <v>1.1062314225053143</v>
      </c>
      <c r="N15">
        <f t="shared" si="3"/>
        <v>6.0672413793103539</v>
      </c>
      <c r="O15">
        <f t="shared" si="0"/>
        <v>4.6772310586110288</v>
      </c>
      <c r="P15">
        <f t="shared" si="1"/>
        <v>82.781818181818181</v>
      </c>
    </row>
    <row r="16" spans="1:16" x14ac:dyDescent="0.25">
      <c r="A16">
        <v>60</v>
      </c>
      <c r="B16">
        <v>0.47</v>
      </c>
      <c r="C16">
        <f t="shared" si="4"/>
        <v>28.2</v>
      </c>
      <c r="D16">
        <v>19.28</v>
      </c>
      <c r="E16">
        <v>1.18</v>
      </c>
      <c r="F16">
        <f>D16*E16</f>
        <v>22.750399999999999</v>
      </c>
      <c r="G16">
        <f t="shared" ref="G16:G19" si="14">D16/E16</f>
        <v>16.33898305084746</v>
      </c>
      <c r="H16">
        <v>22.502753999999999</v>
      </c>
      <c r="I16">
        <v>1.5469059999999999</v>
      </c>
      <c r="J16">
        <v>19.429449000000002</v>
      </c>
      <c r="K16">
        <v>1.3356380000000001</v>
      </c>
      <c r="L16">
        <f t="shared" ref="L16:L19" si="15">J16/K16</f>
        <v>14.546942360130515</v>
      </c>
      <c r="M16">
        <f t="shared" si="2"/>
        <v>0.77515041493776238</v>
      </c>
      <c r="N16">
        <f t="shared" si="3"/>
        <v>13.189661016949167</v>
      </c>
      <c r="O16">
        <f t="shared" si="0"/>
        <v>10.967883895466777</v>
      </c>
      <c r="P16">
        <f t="shared" si="1"/>
        <v>80.675177304964535</v>
      </c>
    </row>
    <row r="17" spans="1:16" x14ac:dyDescent="0.25">
      <c r="A17">
        <v>60</v>
      </c>
      <c r="B17">
        <v>0.33</v>
      </c>
      <c r="C17">
        <f t="shared" ref="C17:C19" si="16">A15*B17</f>
        <v>19.8</v>
      </c>
      <c r="D17">
        <v>19.739999999999998</v>
      </c>
      <c r="E17">
        <v>0.74</v>
      </c>
      <c r="F17">
        <f t="shared" ref="F17:F19" si="17">D17*E17</f>
        <v>14.607599999999998</v>
      </c>
      <c r="G17">
        <f t="shared" si="14"/>
        <v>26.675675675675674</v>
      </c>
      <c r="H17">
        <v>22.785136999999999</v>
      </c>
      <c r="I17">
        <v>1.0936870000000001</v>
      </c>
      <c r="J17">
        <v>19.783799999999999</v>
      </c>
      <c r="K17">
        <v>0.94962299999999999</v>
      </c>
      <c r="L17">
        <f t="shared" si="15"/>
        <v>20.833320170214915</v>
      </c>
      <c r="M17">
        <f t="shared" si="2"/>
        <v>0.22188449848024797</v>
      </c>
      <c r="N17">
        <f t="shared" si="3"/>
        <v>28.327432432432431</v>
      </c>
      <c r="O17">
        <f t="shared" si="0"/>
        <v>21.901434012365563</v>
      </c>
      <c r="P17">
        <f t="shared" si="1"/>
        <v>73.775757575757567</v>
      </c>
    </row>
    <row r="18" spans="1:16" x14ac:dyDescent="0.25">
      <c r="A18">
        <v>60</v>
      </c>
      <c r="B18">
        <v>0.23</v>
      </c>
      <c r="C18">
        <f t="shared" ref="C18" si="18">A16*B18</f>
        <v>13.8</v>
      </c>
      <c r="D18">
        <v>20.09</v>
      </c>
      <c r="E18">
        <v>0.39</v>
      </c>
      <c r="F18">
        <f t="shared" ref="F18" si="19">D18*E18</f>
        <v>7.8351000000000006</v>
      </c>
      <c r="G18">
        <f t="shared" ref="G18" si="20">D18/E18</f>
        <v>51.512820512820511</v>
      </c>
      <c r="H18">
        <v>22.514206000000001</v>
      </c>
      <c r="I18">
        <v>0.72595399999999999</v>
      </c>
      <c r="J18">
        <v>20.036784999999998</v>
      </c>
      <c r="K18">
        <v>0.64607099999999995</v>
      </c>
      <c r="L18">
        <f t="shared" ref="L18" si="21">J18/K18</f>
        <v>31.013286465419434</v>
      </c>
      <c r="M18">
        <f t="shared" ref="M18" si="22">ABS(J18-D18)/D18*100</f>
        <v>0.26488302638129202</v>
      </c>
      <c r="N18">
        <f t="shared" ref="N18" si="23">ABS(K18-E18)/E18*100</f>
        <v>65.659230769230746</v>
      </c>
      <c r="O18">
        <f t="shared" ref="O18" si="24">(ABS(L18-G18)/G18)*100</f>
        <v>39.795013830196218</v>
      </c>
      <c r="P18">
        <f t="shared" ref="P18" si="25">(F18/C18)*100</f>
        <v>56.776086956521745</v>
      </c>
    </row>
    <row r="19" spans="1:16" x14ac:dyDescent="0.25">
      <c r="A19">
        <v>60</v>
      </c>
      <c r="B19">
        <v>0.12</v>
      </c>
      <c r="C19">
        <f t="shared" ref="C19" si="26">A17*B19</f>
        <v>7.1999999999999993</v>
      </c>
      <c r="D19">
        <v>20.48</v>
      </c>
      <c r="E19">
        <v>0.04</v>
      </c>
      <c r="F19">
        <f t="shared" ref="F19" si="27">D19*E19</f>
        <v>0.81920000000000004</v>
      </c>
      <c r="G19">
        <f t="shared" ref="G19" si="28">D19/E19</f>
        <v>512</v>
      </c>
      <c r="H19">
        <v>22.517738000000001</v>
      </c>
      <c r="I19">
        <v>0.31557099999999999</v>
      </c>
      <c r="J19">
        <v>20.337689999999998</v>
      </c>
      <c r="K19">
        <v>0.28501900000000002</v>
      </c>
      <c r="L19">
        <f t="shared" ref="L19" si="29">J19/K19</f>
        <v>71.35555875222353</v>
      </c>
      <c r="M19">
        <f t="shared" ref="M19" si="30">ABS(J19-D19)/D19*100</f>
        <v>0.6948730468750095</v>
      </c>
      <c r="N19">
        <f t="shared" ref="N19" si="31">ABS(K19-E19)/E19*100</f>
        <v>612.54750000000001</v>
      </c>
      <c r="O19">
        <f t="shared" ref="O19" si="32">(ABS(L19-G19)/G19)*100</f>
        <v>86.063367431206345</v>
      </c>
      <c r="P19">
        <f t="shared" ref="P19" si="33">(F19/C19)*100</f>
        <v>11.37777777777778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2026-01-29T12:49:34Z</dcterms:modified>
</cp:coreProperties>
</file>