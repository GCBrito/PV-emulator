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Kyocera KC85TS\Single diode model\G = 400 W.m^-2 and T = 25ºC\R+L load\"/>
    </mc:Choice>
  </mc:AlternateContent>
  <xr:revisionPtr revIDLastSave="0" documentId="13_ncr:1_{40B0F466-5F60-4F13-9522-F99B2FC531A7}" xr6:coauthVersionLast="47" xr6:coauthVersionMax="47" xr10:uidLastSave="{00000000-0000-0000-0000-000000000000}"/>
  <bookViews>
    <workbookView xWindow="34785" yWindow="0" windowWidth="14610" windowHeight="15585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M18" i="1"/>
  <c r="L18" i="1"/>
  <c r="G18" i="1"/>
  <c r="F18" i="1"/>
  <c r="C18" i="1"/>
  <c r="N19" i="1"/>
  <c r="M19" i="1"/>
  <c r="L19" i="1"/>
  <c r="G19" i="1"/>
  <c r="F19" i="1"/>
  <c r="C1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G15" i="1"/>
  <c r="G13" i="1"/>
  <c r="C17" i="1"/>
  <c r="F17" i="1"/>
  <c r="G17" i="1"/>
  <c r="L17" i="1"/>
  <c r="L16" i="1"/>
  <c r="G16" i="1"/>
  <c r="F16" i="1"/>
  <c r="C16" i="1"/>
  <c r="G12" i="1"/>
  <c r="L9" i="1"/>
  <c r="G9" i="1"/>
  <c r="F9" i="1"/>
  <c r="C9" i="1"/>
  <c r="L6" i="1"/>
  <c r="G6" i="1"/>
  <c r="F6" i="1"/>
  <c r="C6" i="1"/>
  <c r="L2" i="1"/>
  <c r="G2" i="1"/>
  <c r="F2" i="1"/>
  <c r="C2" i="1"/>
  <c r="C3" i="1"/>
  <c r="L3" i="1"/>
  <c r="G3" i="1"/>
  <c r="F3" i="1"/>
  <c r="L5" i="1"/>
  <c r="L7" i="1"/>
  <c r="L8" i="1"/>
  <c r="L10" i="1"/>
  <c r="L11" i="1"/>
  <c r="L12" i="1"/>
  <c r="L13" i="1"/>
  <c r="L14" i="1"/>
  <c r="L15" i="1"/>
  <c r="L4" i="1"/>
  <c r="C15" i="1"/>
  <c r="F15" i="1"/>
  <c r="G14" i="1"/>
  <c r="F14" i="1"/>
  <c r="C14" i="1"/>
  <c r="G4" i="1"/>
  <c r="F4" i="1"/>
  <c r="C4" i="1"/>
  <c r="F5" i="1"/>
  <c r="G5" i="1"/>
  <c r="F7" i="1"/>
  <c r="G7" i="1"/>
  <c r="F8" i="1"/>
  <c r="G8" i="1"/>
  <c r="F10" i="1"/>
  <c r="G10" i="1"/>
  <c r="F11" i="1"/>
  <c r="G11" i="1"/>
  <c r="F12" i="1"/>
  <c r="F13" i="1"/>
  <c r="C7" i="1"/>
  <c r="C5" i="1"/>
  <c r="C8" i="1"/>
  <c r="C11" i="1"/>
  <c r="C12" i="1"/>
  <c r="C10" i="1"/>
  <c r="C13" i="1"/>
  <c r="P19" i="1" l="1"/>
  <c r="P18" i="1"/>
  <c r="O18" i="1"/>
  <c r="O19" i="1"/>
  <c r="O17" i="1"/>
  <c r="P17" i="1"/>
  <c r="O6" i="1"/>
  <c r="O9" i="1"/>
  <c r="P9" i="1"/>
  <c r="P6" i="1"/>
  <c r="O16" i="1"/>
  <c r="P16" i="1"/>
  <c r="O15" i="1"/>
  <c r="O2" i="1"/>
  <c r="P2" i="1"/>
  <c r="O3" i="1"/>
  <c r="P3" i="1"/>
  <c r="P14" i="1"/>
  <c r="P15" i="1"/>
  <c r="O14" i="1"/>
  <c r="O4" i="1"/>
  <c r="P4" i="1"/>
  <c r="P7" i="1"/>
  <c r="O7" i="1"/>
  <c r="O5" i="1"/>
  <c r="P5" i="1"/>
  <c r="O8" i="1"/>
  <c r="P8" i="1"/>
  <c r="P10" i="1"/>
  <c r="O11" i="1"/>
  <c r="P11" i="1"/>
  <c r="O12" i="1"/>
  <c r="P12" i="1"/>
  <c r="O10" i="1"/>
  <c r="P13" i="1"/>
  <c r="O13" i="1"/>
</calcChain>
</file>

<file path=xl/sharedStrings.xml><?xml version="1.0" encoding="utf-8"?>
<sst xmlns="http://schemas.openxmlformats.org/spreadsheetml/2006/main" count="16" uniqueCount="16">
  <si>
    <t>Vs_test</t>
  </si>
  <si>
    <t>Is_test</t>
  </si>
  <si>
    <t>Vs*</t>
  </si>
  <si>
    <t>Is*</t>
  </si>
  <si>
    <t>Vs (Volt)</t>
  </si>
  <si>
    <t>Is (Amp)</t>
  </si>
  <si>
    <t>Ve (alim)</t>
  </si>
  <si>
    <t>Ie (alim)</t>
  </si>
  <si>
    <t>Ps</t>
  </si>
  <si>
    <t>R*</t>
  </si>
  <si>
    <t xml:space="preserve">R </t>
  </si>
  <si>
    <t xml:space="preserve">Pe </t>
  </si>
  <si>
    <t>Rend. (%)</t>
  </si>
  <si>
    <t>R Error (%)</t>
  </si>
  <si>
    <t>Vs Error (%)</t>
  </si>
  <si>
    <t>Is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</si>
</sst>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P19"/>
  <sheetViews>
    <sheetView tabSelected="1" zoomScale="115" zoomScaleNormal="115" workbookViewId="0">
      <selection activeCell="H19" sqref="H19:L19"/>
    </sheetView>
  </sheetViews>
  <sheetFormatPr defaultColWidth="9.140625" defaultRowHeight="15" x14ac:dyDescent="0.25"/>
  <cols>
    <col min="5" max="5" width="8.5703125" customWidth="1"/>
  </cols>
  <sheetData>
    <row r="1" spans="1:16" s="2" customFormat="1" x14ac:dyDescent="0.25">
      <c r="A1" s="1" t="s">
        <v>6</v>
      </c>
      <c r="B1" s="1" t="s">
        <v>7</v>
      </c>
      <c r="C1" s="1" t="s">
        <v>11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</v>
      </c>
      <c r="M1" s="1" t="s">
        <v>14</v>
      </c>
      <c r="N1" s="1" t="s">
        <v>15</v>
      </c>
      <c r="O1" s="1" t="s">
        <v>13</v>
      </c>
      <c r="P1" s="1" t="s">
        <v>12</v>
      </c>
    </row>
    <row r="2" spans="1:16" x14ac:dyDescent="0.25">
      <c r="A2">
        <v>60</v>
      </c>
      <c r="B2">
        <v>0.25</v>
      </c>
      <c r="C2">
        <f>A2*B2</f>
        <v>15</v>
      </c>
      <c r="D2">
        <v>4</v>
      </c>
      <c r="E2">
        <v>2</v>
      </c>
      <c r="F2">
        <f>D2*E2</f>
        <v>8</v>
      </c>
      <c r="G2">
        <f>D2/E2</f>
        <v>2</v>
      </c>
      <c r="H2">
        <v>22.491726</v>
      </c>
      <c r="I2">
        <v>11.401453</v>
      </c>
      <c r="J2">
        <v>4.2121060000000003</v>
      </c>
      <c r="K2">
        <v>2.1351909999999998</v>
      </c>
      <c r="L2">
        <f>J2/K2</f>
        <v>1.9727068913272867</v>
      </c>
      <c r="M2">
        <f>ABS(J2-D2)/D2*100</f>
        <v>5.3026500000000087</v>
      </c>
      <c r="N2">
        <f>ABS(K2-E2)/E2*100</f>
        <v>6.759549999999992</v>
      </c>
      <c r="O2">
        <f t="shared" ref="O2:O17" si="0">(ABS(L2-G2)/G2)*100</f>
        <v>1.3646554336356642</v>
      </c>
      <c r="P2">
        <f t="shared" ref="P2:P17" si="1">(F2/C2)*100</f>
        <v>53.333333333333336</v>
      </c>
    </row>
    <row r="3" spans="1:16" x14ac:dyDescent="0.25">
      <c r="A3">
        <v>60</v>
      </c>
      <c r="B3">
        <v>0.44</v>
      </c>
      <c r="C3">
        <f>A3*B3</f>
        <v>26.4</v>
      </c>
      <c r="D3">
        <v>9.99</v>
      </c>
      <c r="E3">
        <v>2.02</v>
      </c>
      <c r="F3">
        <f>D3*E3</f>
        <v>20.1798</v>
      </c>
      <c r="G3">
        <f>D3/E3</f>
        <v>4.9455445544554459</v>
      </c>
      <c r="H3">
        <v>22.784645000000001</v>
      </c>
      <c r="I3">
        <v>4.7635430000000003</v>
      </c>
      <c r="J3">
        <v>10.206792</v>
      </c>
      <c r="K3">
        <v>2.133915</v>
      </c>
      <c r="L3">
        <f>J3/K3</f>
        <v>4.7831295998200494</v>
      </c>
      <c r="M3">
        <f t="shared" ref="M3:M17" si="2">ABS(J3-D3)/D3*100</f>
        <v>2.1700900900900888</v>
      </c>
      <c r="N3">
        <f t="shared" ref="N3:N17" si="3">ABS(K3-E3)/E3*100</f>
        <v>5.6393564356435641</v>
      </c>
      <c r="O3">
        <f t="shared" si="0"/>
        <v>3.2840661497847949</v>
      </c>
      <c r="P3">
        <f t="shared" si="1"/>
        <v>76.438636363636363</v>
      </c>
    </row>
    <row r="4" spans="1:16" x14ac:dyDescent="0.25">
      <c r="A4">
        <v>60</v>
      </c>
      <c r="B4">
        <v>0.52</v>
      </c>
      <c r="C4">
        <f t="shared" ref="C4:C16" si="4">A2*B4</f>
        <v>31.200000000000003</v>
      </c>
      <c r="D4">
        <v>12.45</v>
      </c>
      <c r="E4">
        <v>2.04</v>
      </c>
      <c r="F4">
        <f>D4*E4</f>
        <v>25.398</v>
      </c>
      <c r="G4">
        <f>D4/E4</f>
        <v>6.1029411764705879</v>
      </c>
      <c r="H4">
        <v>22.494654000000001</v>
      </c>
      <c r="I4">
        <v>3.7908819999999999</v>
      </c>
      <c r="J4">
        <v>12.650107999999999</v>
      </c>
      <c r="K4">
        <v>2.1318429999999999</v>
      </c>
      <c r="L4">
        <f>J4/K4</f>
        <v>5.9338834989255771</v>
      </c>
      <c r="M4">
        <f t="shared" si="2"/>
        <v>1.6072931726907644</v>
      </c>
      <c r="N4">
        <f t="shared" si="3"/>
        <v>4.5021078431372503</v>
      </c>
      <c r="O4">
        <f t="shared" si="0"/>
        <v>2.7701017043519838</v>
      </c>
      <c r="P4">
        <f t="shared" si="1"/>
        <v>81.403846153846146</v>
      </c>
    </row>
    <row r="5" spans="1:16" x14ac:dyDescent="0.25">
      <c r="A5">
        <v>60</v>
      </c>
      <c r="B5">
        <v>0.57999999999999996</v>
      </c>
      <c r="C5">
        <f t="shared" si="4"/>
        <v>34.799999999999997</v>
      </c>
      <c r="D5">
        <v>13.63</v>
      </c>
      <c r="E5" s="3">
        <v>2.09</v>
      </c>
      <c r="F5">
        <f>D5*E5</f>
        <v>28.486699999999999</v>
      </c>
      <c r="G5">
        <f>D5/E5</f>
        <v>6.5215311004784695</v>
      </c>
      <c r="H5">
        <v>22.494001000000001</v>
      </c>
      <c r="I5">
        <v>3.46787</v>
      </c>
      <c r="J5">
        <v>13.811143</v>
      </c>
      <c r="K5">
        <v>2.1292450000000001</v>
      </c>
      <c r="L5">
        <f t="shared" ref="L5:L15" si="5">J5/K5</f>
        <v>6.4864038661591312</v>
      </c>
      <c r="M5">
        <f t="shared" si="2"/>
        <v>1.3290022010271365</v>
      </c>
      <c r="N5">
        <f t="shared" si="3"/>
        <v>1.8777511961722584</v>
      </c>
      <c r="O5">
        <f t="shared" si="0"/>
        <v>0.53863477422903161</v>
      </c>
      <c r="P5">
        <f t="shared" si="1"/>
        <v>81.858333333333334</v>
      </c>
    </row>
    <row r="6" spans="1:16" x14ac:dyDescent="0.25">
      <c r="A6">
        <v>60</v>
      </c>
      <c r="B6">
        <v>0.62</v>
      </c>
      <c r="C6">
        <f t="shared" si="4"/>
        <v>37.200000000000003</v>
      </c>
      <c r="D6">
        <v>14.82</v>
      </c>
      <c r="E6" s="3">
        <v>2.0299999999999998</v>
      </c>
      <c r="F6">
        <f>D6*E6</f>
        <v>30.084599999999998</v>
      </c>
      <c r="G6">
        <f>D6/E6</f>
        <v>7.3004926108374395</v>
      </c>
      <c r="H6">
        <v>22.494892</v>
      </c>
      <c r="I6">
        <v>3.1853799999999999</v>
      </c>
      <c r="J6">
        <v>14.974235999999999</v>
      </c>
      <c r="K6">
        <v>2.1204200000000002</v>
      </c>
      <c r="L6">
        <f t="shared" ref="L6" si="6">J6/K6</f>
        <v>7.061919808339856</v>
      </c>
      <c r="M6">
        <f t="shared" si="2"/>
        <v>1.0407287449392655</v>
      </c>
      <c r="N6">
        <f t="shared" si="3"/>
        <v>4.4541871921182459</v>
      </c>
      <c r="O6">
        <f t="shared" si="0"/>
        <v>3.2679000612017166</v>
      </c>
      <c r="P6">
        <f t="shared" si="1"/>
        <v>80.872580645161278</v>
      </c>
    </row>
    <row r="7" spans="1:16" x14ac:dyDescent="0.25">
      <c r="A7">
        <v>60</v>
      </c>
      <c r="B7">
        <v>0.63</v>
      </c>
      <c r="C7">
        <f t="shared" si="4"/>
        <v>37.799999999999997</v>
      </c>
      <c r="D7">
        <v>15.5</v>
      </c>
      <c r="E7">
        <v>2.04</v>
      </c>
      <c r="F7">
        <f t="shared" ref="F7" si="7">D7*E7</f>
        <v>31.62</v>
      </c>
      <c r="G7">
        <f t="shared" ref="G7" si="8">D7/E7</f>
        <v>7.5980392156862742</v>
      </c>
      <c r="H7">
        <v>22.493297999999999</v>
      </c>
      <c r="I7">
        <v>3.0357440000000002</v>
      </c>
      <c r="J7">
        <v>15.629344</v>
      </c>
      <c r="K7">
        <v>2.1093700000000002</v>
      </c>
      <c r="L7">
        <f t="shared" si="5"/>
        <v>7.4094843484073438</v>
      </c>
      <c r="M7">
        <f t="shared" si="2"/>
        <v>0.83447741935483655</v>
      </c>
      <c r="N7">
        <f t="shared" si="3"/>
        <v>3.4004901960784388</v>
      </c>
      <c r="O7">
        <f t="shared" si="0"/>
        <v>2.481625349993664</v>
      </c>
      <c r="P7">
        <f t="shared" si="1"/>
        <v>83.650793650793659</v>
      </c>
    </row>
    <row r="8" spans="1:16" x14ac:dyDescent="0.25">
      <c r="A8">
        <v>60</v>
      </c>
      <c r="B8">
        <v>0.66</v>
      </c>
      <c r="C8">
        <f t="shared" si="4"/>
        <v>39.6</v>
      </c>
      <c r="D8">
        <v>16.05</v>
      </c>
      <c r="E8">
        <v>2.04</v>
      </c>
      <c r="F8">
        <f>D8*E8</f>
        <v>32.742000000000004</v>
      </c>
      <c r="G8">
        <f t="shared" ref="G8:G12" si="9">D8/E8</f>
        <v>7.8676470588235299</v>
      </c>
      <c r="H8">
        <v>22.49297</v>
      </c>
      <c r="I8">
        <v>2.9085359999999998</v>
      </c>
      <c r="J8">
        <v>16.181227</v>
      </c>
      <c r="K8">
        <v>2.0923729999999998</v>
      </c>
      <c r="L8">
        <f t="shared" si="5"/>
        <v>7.733433283644934</v>
      </c>
      <c r="M8">
        <f t="shared" si="2"/>
        <v>0.8176137071651034</v>
      </c>
      <c r="N8">
        <f t="shared" si="3"/>
        <v>2.5673039215686164</v>
      </c>
      <c r="O8">
        <f t="shared" si="0"/>
        <v>1.7058947125503776</v>
      </c>
      <c r="P8">
        <f t="shared" si="1"/>
        <v>82.681818181818187</v>
      </c>
    </row>
    <row r="9" spans="1:16" x14ac:dyDescent="0.25">
      <c r="A9">
        <v>60</v>
      </c>
      <c r="B9">
        <v>0.67</v>
      </c>
      <c r="C9">
        <f t="shared" si="4"/>
        <v>40.200000000000003</v>
      </c>
      <c r="D9">
        <v>16.45</v>
      </c>
      <c r="E9">
        <v>2.0299999999999998</v>
      </c>
      <c r="F9">
        <f>D9*E9</f>
        <v>33.393499999999996</v>
      </c>
      <c r="G9">
        <f t="shared" ref="G9" si="10">D9/E9</f>
        <v>8.1034482758620694</v>
      </c>
      <c r="H9">
        <v>22.495255</v>
      </c>
      <c r="I9">
        <v>2.8102299999999998</v>
      </c>
      <c r="J9">
        <v>16.588014999999999</v>
      </c>
      <c r="K9">
        <v>2.0722659999999999</v>
      </c>
      <c r="L9">
        <f t="shared" ref="L9" si="11">J9/K9</f>
        <v>8.0047711056399127</v>
      </c>
      <c r="M9">
        <f t="shared" si="2"/>
        <v>0.83899696048631811</v>
      </c>
      <c r="N9">
        <f t="shared" si="3"/>
        <v>2.0820689655172484</v>
      </c>
      <c r="O9">
        <f t="shared" si="0"/>
        <v>1.2177182708266148</v>
      </c>
      <c r="P9">
        <f t="shared" si="1"/>
        <v>83.068407960198982</v>
      </c>
    </row>
    <row r="10" spans="1:16" x14ac:dyDescent="0.25">
      <c r="A10">
        <v>60</v>
      </c>
      <c r="B10">
        <v>0.67</v>
      </c>
      <c r="C10">
        <f t="shared" si="4"/>
        <v>40.200000000000003</v>
      </c>
      <c r="D10">
        <v>17.010000000000002</v>
      </c>
      <c r="E10">
        <v>1.98</v>
      </c>
      <c r="F10">
        <f>D10*E10</f>
        <v>33.6798</v>
      </c>
      <c r="G10">
        <f>D10/E10</f>
        <v>8.5909090909090917</v>
      </c>
      <c r="H10">
        <v>22.493977000000001</v>
      </c>
      <c r="I10">
        <v>2.6707040000000002</v>
      </c>
      <c r="J10">
        <v>17.113244999999999</v>
      </c>
      <c r="K10">
        <v>2.0318510000000001</v>
      </c>
      <c r="L10">
        <f t="shared" si="5"/>
        <v>8.4224901333808422</v>
      </c>
      <c r="M10">
        <f t="shared" si="2"/>
        <v>0.60696649029980931</v>
      </c>
      <c r="N10">
        <f t="shared" si="3"/>
        <v>2.6187373737373782</v>
      </c>
      <c r="O10">
        <f t="shared" si="0"/>
        <v>1.9604323098526399</v>
      </c>
      <c r="P10">
        <f t="shared" si="1"/>
        <v>83.780597014925377</v>
      </c>
    </row>
    <row r="11" spans="1:16" x14ac:dyDescent="0.25">
      <c r="A11">
        <v>60</v>
      </c>
      <c r="B11">
        <v>0.66</v>
      </c>
      <c r="C11">
        <f t="shared" si="4"/>
        <v>39.6</v>
      </c>
      <c r="D11">
        <v>17.47</v>
      </c>
      <c r="E11">
        <v>1.9</v>
      </c>
      <c r="F11">
        <f>D11*E11</f>
        <v>33.192999999999998</v>
      </c>
      <c r="G11">
        <f t="shared" si="9"/>
        <v>9.1947368421052627</v>
      </c>
      <c r="H11">
        <v>22.493220999999998</v>
      </c>
      <c r="I11">
        <v>2.5266500000000001</v>
      </c>
      <c r="J11">
        <v>17.581903000000001</v>
      </c>
      <c r="K11">
        <v>1.9749650000000001</v>
      </c>
      <c r="L11">
        <f t="shared" si="5"/>
        <v>8.9023871309111797</v>
      </c>
      <c r="M11">
        <f t="shared" si="2"/>
        <v>0.64054378935318634</v>
      </c>
      <c r="N11">
        <f t="shared" si="3"/>
        <v>3.9455263157894827</v>
      </c>
      <c r="O11">
        <f t="shared" si="0"/>
        <v>3.1795332070335296</v>
      </c>
      <c r="P11">
        <f t="shared" si="1"/>
        <v>83.820707070707059</v>
      </c>
    </row>
    <row r="12" spans="1:16" x14ac:dyDescent="0.25">
      <c r="A12">
        <v>60</v>
      </c>
      <c r="B12">
        <v>0.64</v>
      </c>
      <c r="C12">
        <f t="shared" si="4"/>
        <v>38.4</v>
      </c>
      <c r="D12">
        <v>17.989999999999998</v>
      </c>
      <c r="E12">
        <v>1.8</v>
      </c>
      <c r="F12">
        <f>D12*E12</f>
        <v>32.381999999999998</v>
      </c>
      <c r="G12">
        <f t="shared" si="9"/>
        <v>9.9944444444444436</v>
      </c>
      <c r="H12">
        <v>22.494623000000001</v>
      </c>
      <c r="I12">
        <v>2.3407809999999998</v>
      </c>
      <c r="J12">
        <v>18.077916999999999</v>
      </c>
      <c r="K12">
        <v>1.881181</v>
      </c>
      <c r="L12">
        <f t="shared" si="5"/>
        <v>9.6098764552693225</v>
      </c>
      <c r="M12">
        <f t="shared" si="2"/>
        <v>0.48869927737632529</v>
      </c>
      <c r="N12">
        <f t="shared" si="3"/>
        <v>4.5100555555555522</v>
      </c>
      <c r="O12">
        <f t="shared" si="0"/>
        <v>3.8478175681779763</v>
      </c>
      <c r="P12">
        <f t="shared" si="1"/>
        <v>84.328125</v>
      </c>
    </row>
    <row r="13" spans="1:16" x14ac:dyDescent="0.25">
      <c r="A13">
        <v>60</v>
      </c>
      <c r="B13">
        <v>0.63</v>
      </c>
      <c r="C13">
        <f t="shared" si="4"/>
        <v>37.799999999999997</v>
      </c>
      <c r="D13">
        <v>18.34</v>
      </c>
      <c r="E13">
        <v>1.73</v>
      </c>
      <c r="F13">
        <f t="shared" ref="F13:F14" si="12">D13*E13</f>
        <v>31.728200000000001</v>
      </c>
      <c r="G13">
        <f>D13/E13</f>
        <v>10.601156069364162</v>
      </c>
      <c r="H13">
        <v>22.493725000000001</v>
      </c>
      <c r="I13">
        <v>2.1897139999999999</v>
      </c>
      <c r="J13">
        <v>18.393583</v>
      </c>
      <c r="K13">
        <v>1.7905740000000001</v>
      </c>
      <c r="L13">
        <f t="shared" si="5"/>
        <v>10.272450621979321</v>
      </c>
      <c r="M13">
        <f t="shared" si="2"/>
        <v>0.29216466739367347</v>
      </c>
      <c r="N13">
        <f t="shared" si="3"/>
        <v>3.5013872832370017</v>
      </c>
      <c r="O13">
        <f t="shared" si="0"/>
        <v>3.1006566192790386</v>
      </c>
      <c r="P13">
        <f t="shared" si="1"/>
        <v>83.937037037037044</v>
      </c>
    </row>
    <row r="14" spans="1:16" x14ac:dyDescent="0.25">
      <c r="A14">
        <v>60</v>
      </c>
      <c r="B14">
        <v>0.56999999999999995</v>
      </c>
      <c r="C14">
        <f t="shared" si="4"/>
        <v>34.199999999999996</v>
      </c>
      <c r="D14">
        <v>18.78</v>
      </c>
      <c r="E14">
        <v>1.54</v>
      </c>
      <c r="F14">
        <f t="shared" si="12"/>
        <v>28.921200000000002</v>
      </c>
      <c r="G14">
        <f>D14/E14</f>
        <v>12.194805194805195</v>
      </c>
      <c r="H14">
        <v>22.785146999999998</v>
      </c>
      <c r="I14">
        <v>1.989317</v>
      </c>
      <c r="J14">
        <v>18.813585</v>
      </c>
      <c r="K14">
        <v>1.6425700000000001</v>
      </c>
      <c r="L14">
        <f t="shared" si="5"/>
        <v>11.453749307487655</v>
      </c>
      <c r="M14">
        <f t="shared" si="2"/>
        <v>0.17883386581468924</v>
      </c>
      <c r="N14">
        <f t="shared" si="3"/>
        <v>6.6603896103896139</v>
      </c>
      <c r="O14">
        <f t="shared" si="0"/>
        <v>6.0768161153834459</v>
      </c>
      <c r="P14">
        <f t="shared" si="1"/>
        <v>84.564912280701776</v>
      </c>
    </row>
    <row r="15" spans="1:16" x14ac:dyDescent="0.25">
      <c r="A15">
        <v>60</v>
      </c>
      <c r="B15">
        <v>0.51</v>
      </c>
      <c r="C15">
        <f t="shared" si="4"/>
        <v>30.6</v>
      </c>
      <c r="D15">
        <v>19.13</v>
      </c>
      <c r="E15">
        <v>1.34</v>
      </c>
      <c r="F15">
        <f t="shared" ref="F15" si="13">D15*E15</f>
        <v>25.6342</v>
      </c>
      <c r="G15">
        <f>D15/E15</f>
        <v>14.276119402985072</v>
      </c>
      <c r="H15">
        <v>22.501472</v>
      </c>
      <c r="I15">
        <v>1.7104680000000001</v>
      </c>
      <c r="J15">
        <v>19.156638999999998</v>
      </c>
      <c r="K15">
        <v>1.456207</v>
      </c>
      <c r="L15">
        <f t="shared" si="5"/>
        <v>13.155162006500449</v>
      </c>
      <c r="M15">
        <f t="shared" si="2"/>
        <v>0.13925248301097445</v>
      </c>
      <c r="N15">
        <f t="shared" si="3"/>
        <v>8.6721641791044739</v>
      </c>
      <c r="O15">
        <f t="shared" si="0"/>
        <v>7.8519754902738939</v>
      </c>
      <c r="P15">
        <f t="shared" si="1"/>
        <v>83.7718954248366</v>
      </c>
    </row>
    <row r="16" spans="1:16" x14ac:dyDescent="0.25">
      <c r="A16">
        <v>60</v>
      </c>
      <c r="B16">
        <v>0.46</v>
      </c>
      <c r="C16">
        <f t="shared" si="4"/>
        <v>27.6</v>
      </c>
      <c r="D16">
        <v>19.46</v>
      </c>
      <c r="E16">
        <v>1.1399999999999999</v>
      </c>
      <c r="F16">
        <f>D16*E16</f>
        <v>22.1844</v>
      </c>
      <c r="G16">
        <f t="shared" ref="G16:G17" si="14">D16/E16</f>
        <v>17.070175438596493</v>
      </c>
      <c r="H16">
        <v>22.504978000000001</v>
      </c>
      <c r="I16">
        <v>1.49112</v>
      </c>
      <c r="J16">
        <v>19.463346000000001</v>
      </c>
      <c r="K16">
        <v>1.28959</v>
      </c>
      <c r="L16">
        <f t="shared" ref="L16:L17" si="15">J16/K16</f>
        <v>15.092662008855529</v>
      </c>
      <c r="M16">
        <f t="shared" si="2"/>
        <v>1.7194244604319193E-2</v>
      </c>
      <c r="N16">
        <f t="shared" si="3"/>
        <v>13.121929824561414</v>
      </c>
      <c r="O16">
        <f t="shared" si="0"/>
        <v>11.584611047814489</v>
      </c>
      <c r="P16">
        <f t="shared" si="1"/>
        <v>80.37826086956521</v>
      </c>
    </row>
    <row r="17" spans="1:16" x14ac:dyDescent="0.25">
      <c r="A17">
        <v>60</v>
      </c>
      <c r="B17">
        <v>0.31</v>
      </c>
      <c r="C17">
        <f t="shared" ref="C17" si="16">A15*B17</f>
        <v>18.600000000000001</v>
      </c>
      <c r="D17">
        <v>19.850000000000001</v>
      </c>
      <c r="E17">
        <v>0.68</v>
      </c>
      <c r="F17">
        <f t="shared" ref="F17" si="17">D17*E17</f>
        <v>13.498000000000001</v>
      </c>
      <c r="G17">
        <f t="shared" si="14"/>
        <v>29.191176470588236</v>
      </c>
      <c r="H17">
        <v>22.512096</v>
      </c>
      <c r="I17">
        <v>1.0006889999999999</v>
      </c>
      <c r="J17">
        <v>19.813057000000001</v>
      </c>
      <c r="K17">
        <v>0.88071299999999997</v>
      </c>
      <c r="L17">
        <f t="shared" si="15"/>
        <v>22.496610132926392</v>
      </c>
      <c r="M17">
        <f t="shared" si="2"/>
        <v>0.18611083123426111</v>
      </c>
      <c r="N17">
        <f t="shared" si="3"/>
        <v>29.516617647058808</v>
      </c>
      <c r="O17">
        <f t="shared" si="0"/>
        <v>22.933527000554427</v>
      </c>
      <c r="P17">
        <f t="shared" si="1"/>
        <v>72.569892473118287</v>
      </c>
    </row>
    <row r="18" spans="1:16" x14ac:dyDescent="0.25">
      <c r="A18">
        <v>60</v>
      </c>
      <c r="B18">
        <v>0.16</v>
      </c>
      <c r="C18">
        <f t="shared" ref="C18" si="18">A16*B18</f>
        <v>9.6</v>
      </c>
      <c r="D18">
        <v>20.29</v>
      </c>
      <c r="E18">
        <v>0.18</v>
      </c>
      <c r="F18">
        <f t="shared" ref="F18" si="19">D18*E18</f>
        <v>3.6521999999999997</v>
      </c>
      <c r="G18">
        <f t="shared" ref="G18" si="20">D18/E18</f>
        <v>112.72222222222223</v>
      </c>
      <c r="H18">
        <v>22.518711</v>
      </c>
      <c r="I18">
        <v>0.457511</v>
      </c>
      <c r="J18">
        <v>20.199618999999998</v>
      </c>
      <c r="K18">
        <v>0.41039399999999998</v>
      </c>
      <c r="L18">
        <f t="shared" ref="L18" si="21">J18/K18</f>
        <v>49.220064133491228</v>
      </c>
      <c r="M18">
        <f t="shared" ref="M18" si="22">ABS(J18-D18)/D18*100</f>
        <v>0.44544603252834264</v>
      </c>
      <c r="N18">
        <f t="shared" ref="N18" si="23">ABS(K18-E18)/E18*100</f>
        <v>127.99666666666667</v>
      </c>
      <c r="O18">
        <f t="shared" ref="O18" si="24">(ABS(L18-G18)/G18)*100</f>
        <v>56.335083568120162</v>
      </c>
      <c r="P18">
        <f t="shared" ref="P18" si="25">(F18/C18)*100</f>
        <v>38.043749999999996</v>
      </c>
    </row>
    <row r="19" spans="1:16" x14ac:dyDescent="0.25">
      <c r="A19">
        <v>60</v>
      </c>
      <c r="B19">
        <v>0.12</v>
      </c>
      <c r="C19">
        <f t="shared" ref="C19" si="26">A17*B19</f>
        <v>7.1999999999999993</v>
      </c>
      <c r="D19">
        <v>20.41</v>
      </c>
      <c r="E19">
        <v>0.05</v>
      </c>
      <c r="F19">
        <f t="shared" ref="F19" si="27">D19*E19</f>
        <v>1.0205</v>
      </c>
      <c r="G19">
        <f t="shared" ref="G19" si="28">D19/E19</f>
        <v>408.2</v>
      </c>
      <c r="H19">
        <v>22.517979</v>
      </c>
      <c r="I19">
        <v>0.306336</v>
      </c>
      <c r="J19">
        <v>20.309837000000002</v>
      </c>
      <c r="K19">
        <v>0.27629700000000001</v>
      </c>
      <c r="L19">
        <f t="shared" ref="L19" si="29">J19/K19</f>
        <v>73.507265732165024</v>
      </c>
      <c r="M19">
        <f t="shared" ref="M19" si="30">ABS(J19-D19)/D19*100</f>
        <v>0.49075453209210407</v>
      </c>
      <c r="N19">
        <f t="shared" ref="N19" si="31">ABS(K19-E19)/E19*100</f>
        <v>452.59400000000005</v>
      </c>
      <c r="O19">
        <f t="shared" ref="O19" si="32">(ABS(L19-G19)/G19)*100</f>
        <v>81.992340584966911</v>
      </c>
      <c r="P19">
        <f t="shared" ref="P19" si="33">(F19/C19)*100</f>
        <v>14.173611111111112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2026-03-12T17:34:52Z</dcterms:modified>
</cp:coreProperties>
</file>