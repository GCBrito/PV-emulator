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Kyocera KC85TS\Single diode model\G = 400 W.m^-2 and T = 25ºC\R load\"/>
    </mc:Choice>
  </mc:AlternateContent>
  <xr:revisionPtr revIDLastSave="0" documentId="13_ncr:1_{B9938526-9C73-4FEC-B281-95BD8495FD28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" i="1"/>
  <c r="G15" i="1"/>
  <c r="G13" i="1"/>
  <c r="C17" i="1"/>
  <c r="F17" i="1"/>
  <c r="G17" i="1"/>
  <c r="L17" i="1"/>
  <c r="C18" i="1"/>
  <c r="F18" i="1"/>
  <c r="G18" i="1"/>
  <c r="L18" i="1"/>
  <c r="C19" i="1"/>
  <c r="F19" i="1"/>
  <c r="G19" i="1"/>
  <c r="L19" i="1"/>
  <c r="L16" i="1"/>
  <c r="G16" i="1"/>
  <c r="F16" i="1"/>
  <c r="C16" i="1"/>
  <c r="G12" i="1"/>
  <c r="L9" i="1"/>
  <c r="G9" i="1"/>
  <c r="F9" i="1"/>
  <c r="C9" i="1"/>
  <c r="L6" i="1"/>
  <c r="G6" i="1"/>
  <c r="F6" i="1"/>
  <c r="C6" i="1"/>
  <c r="L2" i="1"/>
  <c r="G2" i="1"/>
  <c r="F2" i="1"/>
  <c r="C2" i="1"/>
  <c r="C3" i="1"/>
  <c r="L3" i="1"/>
  <c r="G3" i="1"/>
  <c r="F3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19" i="1" l="1"/>
  <c r="P19" i="1"/>
  <c r="O18" i="1"/>
  <c r="P18" i="1"/>
  <c r="O17" i="1"/>
  <c r="P17" i="1"/>
  <c r="O6" i="1"/>
  <c r="O9" i="1"/>
  <c r="P9" i="1"/>
  <c r="P6" i="1"/>
  <c r="O16" i="1"/>
  <c r="P16" i="1"/>
  <c r="O15" i="1"/>
  <c r="O2" i="1"/>
  <c r="P2" i="1"/>
  <c r="O3" i="1"/>
  <c r="P3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<sst xmlns="http://schemas.openxmlformats.org/spreadsheetml/2006/main" count="16" uniqueCount="16">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</sst>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9"/>
  <sheetViews>
    <sheetView tabSelected="1" zoomScale="115" zoomScaleNormal="115" workbookViewId="0">
      <selection activeCell="H19" sqref="H19:L19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0.26</v>
      </c>
      <c r="C2">
        <f>A2*B2</f>
        <v>15.600000000000001</v>
      </c>
      <c r="D2">
        <v>3.92</v>
      </c>
      <c r="E2">
        <v>2.0299999999999998</v>
      </c>
      <c r="F2">
        <f>D2*E2</f>
        <v>7.9575999999999993</v>
      </c>
      <c r="G2">
        <f>D2/E2</f>
        <v>1.9310344827586208</v>
      </c>
      <c r="H2">
        <v>21.917355000000001</v>
      </c>
      <c r="I2">
        <v>12.392923</v>
      </c>
      <c r="J2">
        <v>3.7716889999999998</v>
      </c>
      <c r="K2">
        <v>2.13266</v>
      </c>
      <c r="L2">
        <f>J2/K2</f>
        <v>1.7685374133710952</v>
      </c>
      <c r="M2">
        <f>ABS(J2-D2)/D2*100</f>
        <v>3.7834438775510222</v>
      </c>
      <c r="N2">
        <f>ABS(K2-E2)/E2*100</f>
        <v>5.0571428571428667</v>
      </c>
      <c r="O2">
        <f t="shared" ref="O2:O19" si="0">(ABS(L2-G2)/G2)*100</f>
        <v>8.4150268075682906</v>
      </c>
      <c r="P2">
        <f t="shared" ref="P2:P19" si="1">(F2/C2)*100</f>
        <v>51.010256410256403</v>
      </c>
    </row>
    <row r="3" spans="1:16" x14ac:dyDescent="0.25">
      <c r="A3">
        <v>60</v>
      </c>
      <c r="B3">
        <v>0.51</v>
      </c>
      <c r="C3">
        <f>A3*B3</f>
        <v>30.6</v>
      </c>
      <c r="D3">
        <v>11.57</v>
      </c>
      <c r="E3">
        <v>2.06</v>
      </c>
      <c r="F3">
        <f>D3*E3</f>
        <v>23.834200000000003</v>
      </c>
      <c r="G3">
        <f>D3/E3</f>
        <v>5.616504854368932</v>
      </c>
      <c r="H3">
        <v>21.916889000000001</v>
      </c>
      <c r="I3">
        <v>3.961433</v>
      </c>
      <c r="J3">
        <v>11.757546</v>
      </c>
      <c r="K3">
        <v>2.1251530000000001</v>
      </c>
      <c r="L3">
        <f>J3/K3</f>
        <v>5.5325644788869317</v>
      </c>
      <c r="M3">
        <f t="shared" ref="M3:M19" si="2">ABS(J3-D3)/D3*100</f>
        <v>1.6209680207432957</v>
      </c>
      <c r="N3">
        <f t="shared" ref="N3:N19" si="3">ABS(K3-E3)/E3*100</f>
        <v>3.1627669902912632</v>
      </c>
      <c r="O3">
        <f t="shared" si="0"/>
        <v>1.4945304536985358</v>
      </c>
      <c r="P3">
        <f t="shared" si="1"/>
        <v>77.889542483660136</v>
      </c>
    </row>
    <row r="4" spans="1:16" x14ac:dyDescent="0.25">
      <c r="A4">
        <v>60</v>
      </c>
      <c r="B4">
        <v>0.56000000000000005</v>
      </c>
      <c r="C4">
        <f t="shared" ref="C4:C16" si="4">A2*B4</f>
        <v>33.6</v>
      </c>
      <c r="D4">
        <v>13.3</v>
      </c>
      <c r="E4">
        <v>2.0499999999999998</v>
      </c>
      <c r="F4">
        <f>D4*E4</f>
        <v>27.265000000000001</v>
      </c>
      <c r="G4">
        <f>D4/E4</f>
        <v>6.4878048780487818</v>
      </c>
      <c r="H4">
        <v>21.917103000000001</v>
      </c>
      <c r="I4">
        <v>3.4539110000000002</v>
      </c>
      <c r="J4">
        <v>13.46219</v>
      </c>
      <c r="K4">
        <v>2.1215030000000001</v>
      </c>
      <c r="L4">
        <f>J4/K4</f>
        <v>6.3455908381934876</v>
      </c>
      <c r="M4">
        <f t="shared" si="2"/>
        <v>1.2194736842105183</v>
      </c>
      <c r="N4">
        <f t="shared" si="3"/>
        <v>3.4879512195122109</v>
      </c>
      <c r="O4">
        <f t="shared" si="0"/>
        <v>2.1920209150628054</v>
      </c>
      <c r="P4">
        <f t="shared" si="1"/>
        <v>81.145833333333329</v>
      </c>
    </row>
    <row r="5" spans="1:16" x14ac:dyDescent="0.25">
      <c r="A5">
        <v>60</v>
      </c>
      <c r="B5">
        <v>0.62</v>
      </c>
      <c r="C5">
        <f t="shared" si="4"/>
        <v>37.200000000000003</v>
      </c>
      <c r="D5">
        <v>14.91</v>
      </c>
      <c r="E5" s="3">
        <v>2.0699999999999998</v>
      </c>
      <c r="F5">
        <f>D5*E5</f>
        <v>30.863699999999998</v>
      </c>
      <c r="G5">
        <f>D5/E5</f>
        <v>7.2028985507246386</v>
      </c>
      <c r="H5">
        <v>21.635138000000001</v>
      </c>
      <c r="I5">
        <v>3.0400499999999999</v>
      </c>
      <c r="J5">
        <v>15.029916</v>
      </c>
      <c r="K5">
        <v>2.11192</v>
      </c>
      <c r="L5">
        <f t="shared" ref="L5:L15" si="5">J5/K5</f>
        <v>7.1167070722375847</v>
      </c>
      <c r="M5">
        <f t="shared" si="2"/>
        <v>0.80426559356136762</v>
      </c>
      <c r="N5">
        <f t="shared" si="3"/>
        <v>2.0251207729468685</v>
      </c>
      <c r="O5">
        <f t="shared" si="0"/>
        <v>1.1966221359369653</v>
      </c>
      <c r="P5">
        <f t="shared" si="1"/>
        <v>82.966935483870955</v>
      </c>
    </row>
    <row r="6" spans="1:16" x14ac:dyDescent="0.25">
      <c r="A6">
        <v>60</v>
      </c>
      <c r="B6">
        <v>0.64</v>
      </c>
      <c r="C6">
        <f t="shared" si="4"/>
        <v>38.4</v>
      </c>
      <c r="D6">
        <v>15.59</v>
      </c>
      <c r="E6" s="3">
        <v>2.0299999999999998</v>
      </c>
      <c r="F6">
        <f>D6*E6</f>
        <v>31.647699999999997</v>
      </c>
      <c r="G6">
        <f>D6/E6</f>
        <v>7.6798029556650249</v>
      </c>
      <c r="H6">
        <v>21.635173999999999</v>
      </c>
      <c r="I6">
        <v>2.8890829999999998</v>
      </c>
      <c r="J6">
        <v>15.72958</v>
      </c>
      <c r="K6">
        <v>2.1004710000000002</v>
      </c>
      <c r="L6">
        <f t="shared" ref="L6" si="6">J6/K6</f>
        <v>7.4885966052375865</v>
      </c>
      <c r="M6">
        <f t="shared" si="2"/>
        <v>0.89531751122514747</v>
      </c>
      <c r="N6">
        <f t="shared" si="3"/>
        <v>3.4714778325123352</v>
      </c>
      <c r="O6">
        <f t="shared" si="0"/>
        <v>2.4897298997286716</v>
      </c>
      <c r="P6">
        <f t="shared" si="1"/>
        <v>82.415885416666654</v>
      </c>
    </row>
    <row r="7" spans="1:16" x14ac:dyDescent="0.25">
      <c r="A7">
        <v>60</v>
      </c>
      <c r="B7">
        <v>0.64</v>
      </c>
      <c r="C7">
        <f t="shared" si="4"/>
        <v>38.4</v>
      </c>
      <c r="D7">
        <v>16.190000000000001</v>
      </c>
      <c r="E7">
        <v>2</v>
      </c>
      <c r="F7">
        <f t="shared" ref="F7" si="7">D7*E7</f>
        <v>32.380000000000003</v>
      </c>
      <c r="G7">
        <f t="shared" ref="G7" si="8">D7/E7</f>
        <v>8.0950000000000006</v>
      </c>
      <c r="H7">
        <v>21.635190999999999</v>
      </c>
      <c r="I7">
        <v>2.7620429999999998</v>
      </c>
      <c r="J7">
        <v>16.312875999999999</v>
      </c>
      <c r="K7">
        <v>2.082573</v>
      </c>
      <c r="L7">
        <f t="shared" si="5"/>
        <v>7.8330392259959192</v>
      </c>
      <c r="M7">
        <f t="shared" si="2"/>
        <v>0.75896232242123518</v>
      </c>
      <c r="N7">
        <f t="shared" si="3"/>
        <v>4.1286500000000004</v>
      </c>
      <c r="O7">
        <f t="shared" si="0"/>
        <v>3.2360812106742611</v>
      </c>
      <c r="P7">
        <f t="shared" si="1"/>
        <v>84.322916666666686</v>
      </c>
    </row>
    <row r="8" spans="1:16" x14ac:dyDescent="0.25">
      <c r="A8">
        <v>60</v>
      </c>
      <c r="B8">
        <v>0.66</v>
      </c>
      <c r="C8">
        <f t="shared" si="4"/>
        <v>39.6</v>
      </c>
      <c r="D8">
        <v>16.68</v>
      </c>
      <c r="E8">
        <v>1.97</v>
      </c>
      <c r="F8">
        <f>D8*E8</f>
        <v>32.8596</v>
      </c>
      <c r="G8">
        <f t="shared" ref="G8:G12" si="9">D8/E8</f>
        <v>8.4670050761421312</v>
      </c>
      <c r="H8">
        <v>21.635189</v>
      </c>
      <c r="I8">
        <v>2.6482320000000001</v>
      </c>
      <c r="J8">
        <v>16.803374999999999</v>
      </c>
      <c r="K8">
        <v>2.0567989999999998</v>
      </c>
      <c r="L8">
        <f t="shared" si="5"/>
        <v>8.1696728751812895</v>
      </c>
      <c r="M8">
        <f t="shared" si="2"/>
        <v>0.73965827338129098</v>
      </c>
      <c r="N8">
        <f t="shared" si="3"/>
        <v>4.4060406091370483</v>
      </c>
      <c r="O8">
        <f t="shared" si="0"/>
        <v>3.5116572895255285</v>
      </c>
      <c r="P8">
        <f t="shared" si="1"/>
        <v>82.97878787878787</v>
      </c>
    </row>
    <row r="9" spans="1:16" x14ac:dyDescent="0.25">
      <c r="A9">
        <v>60</v>
      </c>
      <c r="B9">
        <v>0.66</v>
      </c>
      <c r="C9">
        <f t="shared" si="4"/>
        <v>39.6</v>
      </c>
      <c r="D9">
        <v>16.91</v>
      </c>
      <c r="E9">
        <v>1.96</v>
      </c>
      <c r="F9">
        <f>D9*E9</f>
        <v>33.143599999999999</v>
      </c>
      <c r="G9">
        <f t="shared" ref="G9" si="10">D9/E9</f>
        <v>8.6275510204081627</v>
      </c>
      <c r="H9">
        <v>21.63496</v>
      </c>
      <c r="I9">
        <v>2.5913940000000002</v>
      </c>
      <c r="J9">
        <v>17.031825999999999</v>
      </c>
      <c r="K9">
        <v>2.0400399999999999</v>
      </c>
      <c r="L9">
        <f t="shared" ref="L9" si="11">J9/K9</f>
        <v>8.3487706123409353</v>
      </c>
      <c r="M9">
        <f t="shared" si="2"/>
        <v>0.72043761088112745</v>
      </c>
      <c r="N9">
        <f t="shared" si="3"/>
        <v>4.0836734693877492</v>
      </c>
      <c r="O9">
        <f t="shared" si="0"/>
        <v>3.2312808977632508</v>
      </c>
      <c r="P9">
        <f t="shared" si="1"/>
        <v>83.695959595959593</v>
      </c>
    </row>
    <row r="10" spans="1:16" x14ac:dyDescent="0.25">
      <c r="A10">
        <v>60</v>
      </c>
      <c r="B10">
        <v>0.67</v>
      </c>
      <c r="C10">
        <f t="shared" si="4"/>
        <v>40.200000000000003</v>
      </c>
      <c r="D10">
        <v>17.16</v>
      </c>
      <c r="E10">
        <v>1.91</v>
      </c>
      <c r="F10">
        <f>D10*E10</f>
        <v>32.775599999999997</v>
      </c>
      <c r="G10">
        <f>D10/E10</f>
        <v>8.9842931937172779</v>
      </c>
      <c r="H10">
        <v>21.636126999999998</v>
      </c>
      <c r="I10">
        <v>2.528483</v>
      </c>
      <c r="J10">
        <v>17.267949999999999</v>
      </c>
      <c r="K10">
        <v>2.0180009999999999</v>
      </c>
      <c r="L10">
        <f t="shared" si="5"/>
        <v>8.5569580986332507</v>
      </c>
      <c r="M10">
        <f t="shared" si="2"/>
        <v>0.62907925407924759</v>
      </c>
      <c r="N10">
        <f t="shared" si="3"/>
        <v>5.6545026178010476</v>
      </c>
      <c r="O10">
        <f t="shared" si="0"/>
        <v>4.7564687156788565</v>
      </c>
      <c r="P10">
        <f t="shared" si="1"/>
        <v>81.531343283582075</v>
      </c>
    </row>
    <row r="11" spans="1:16" x14ac:dyDescent="0.25">
      <c r="A11">
        <v>60</v>
      </c>
      <c r="B11">
        <v>0.66</v>
      </c>
      <c r="C11">
        <f t="shared" si="4"/>
        <v>39.6</v>
      </c>
      <c r="D11">
        <v>17.48</v>
      </c>
      <c r="E11">
        <v>1.87</v>
      </c>
      <c r="F11">
        <f>D11*E11</f>
        <v>32.687600000000003</v>
      </c>
      <c r="G11">
        <f t="shared" si="9"/>
        <v>9.3475935828877006</v>
      </c>
      <c r="H11">
        <v>21.636707000000001</v>
      </c>
      <c r="I11">
        <v>2.436547</v>
      </c>
      <c r="J11">
        <v>17.583126</v>
      </c>
      <c r="K11">
        <v>1.9800660000000001</v>
      </c>
      <c r="L11">
        <f t="shared" si="5"/>
        <v>8.8800706643111891</v>
      </c>
      <c r="M11">
        <f t="shared" si="2"/>
        <v>0.58996567505720598</v>
      </c>
      <c r="N11">
        <f t="shared" si="3"/>
        <v>5.8858823529411763</v>
      </c>
      <c r="O11">
        <f t="shared" si="0"/>
        <v>5.0015323669226346</v>
      </c>
      <c r="P11">
        <f t="shared" si="1"/>
        <v>82.544444444444451</v>
      </c>
    </row>
    <row r="12" spans="1:16" x14ac:dyDescent="0.25">
      <c r="A12">
        <v>60</v>
      </c>
      <c r="B12">
        <v>0.66</v>
      </c>
      <c r="C12">
        <f t="shared" si="4"/>
        <v>39.6</v>
      </c>
      <c r="D12">
        <v>17.850000000000001</v>
      </c>
      <c r="E12">
        <v>1.84</v>
      </c>
      <c r="F12">
        <f>D12*E12</f>
        <v>32.844000000000001</v>
      </c>
      <c r="G12">
        <f t="shared" si="9"/>
        <v>9.7010869565217401</v>
      </c>
      <c r="H12">
        <v>21.637428</v>
      </c>
      <c r="I12">
        <v>2.3184450000000001</v>
      </c>
      <c r="J12">
        <v>17.934850999999998</v>
      </c>
      <c r="K12">
        <v>1.9217150000000001</v>
      </c>
      <c r="L12">
        <f t="shared" si="5"/>
        <v>9.3327319607746198</v>
      </c>
      <c r="M12">
        <f t="shared" si="2"/>
        <v>0.47535574229690136</v>
      </c>
      <c r="N12">
        <f t="shared" si="3"/>
        <v>4.4410326086956511</v>
      </c>
      <c r="O12">
        <f t="shared" si="0"/>
        <v>3.7970486956565908</v>
      </c>
      <c r="P12">
        <f t="shared" si="1"/>
        <v>82.939393939393938</v>
      </c>
    </row>
    <row r="13" spans="1:16" x14ac:dyDescent="0.25">
      <c r="A13">
        <v>60</v>
      </c>
      <c r="B13">
        <v>0.63</v>
      </c>
      <c r="C13">
        <f t="shared" si="4"/>
        <v>37.799999999999997</v>
      </c>
      <c r="D13">
        <v>18.25</v>
      </c>
      <c r="E13">
        <v>1.75</v>
      </c>
      <c r="F13">
        <f t="shared" ref="F13:F14" si="12">D13*E13</f>
        <v>31.9375</v>
      </c>
      <c r="G13">
        <f>D13/E13</f>
        <v>10.428571428571429</v>
      </c>
      <c r="H13">
        <v>21.635871999999999</v>
      </c>
      <c r="I13">
        <v>2.1685469999999998</v>
      </c>
      <c r="J13">
        <v>18.304523</v>
      </c>
      <c r="K13">
        <v>1.834649</v>
      </c>
      <c r="L13">
        <f t="shared" si="5"/>
        <v>9.9771253247896468</v>
      </c>
      <c r="M13">
        <f t="shared" si="2"/>
        <v>0.29875616438355973</v>
      </c>
      <c r="N13">
        <f t="shared" si="3"/>
        <v>4.8370857142857124</v>
      </c>
      <c r="O13">
        <f t="shared" si="0"/>
        <v>4.3289352417431157</v>
      </c>
      <c r="P13">
        <f t="shared" si="1"/>
        <v>84.490740740740748</v>
      </c>
    </row>
    <row r="14" spans="1:16" x14ac:dyDescent="0.25">
      <c r="A14">
        <v>60</v>
      </c>
      <c r="B14">
        <v>0.59</v>
      </c>
      <c r="C14">
        <f t="shared" si="4"/>
        <v>35.4</v>
      </c>
      <c r="D14">
        <v>18.739999999999998</v>
      </c>
      <c r="E14">
        <v>1.57</v>
      </c>
      <c r="F14">
        <f t="shared" si="12"/>
        <v>29.421799999999998</v>
      </c>
      <c r="G14">
        <f>D14/E14</f>
        <v>11.936305732484074</v>
      </c>
      <c r="H14">
        <v>21.640063999999999</v>
      </c>
      <c r="I14">
        <v>1.9334210000000001</v>
      </c>
      <c r="J14">
        <v>18.780472</v>
      </c>
      <c r="K14">
        <v>1.677932</v>
      </c>
      <c r="L14">
        <f t="shared" si="5"/>
        <v>11.192629975469805</v>
      </c>
      <c r="M14">
        <f t="shared" si="2"/>
        <v>0.21596584845251426</v>
      </c>
      <c r="N14">
        <f t="shared" si="3"/>
        <v>6.8746496815286564</v>
      </c>
      <c r="O14">
        <f t="shared" si="0"/>
        <v>6.2303678682625581</v>
      </c>
      <c r="P14">
        <f t="shared" si="1"/>
        <v>83.112429378531075</v>
      </c>
    </row>
    <row r="15" spans="1:16" x14ac:dyDescent="0.25">
      <c r="A15">
        <v>60</v>
      </c>
      <c r="B15">
        <v>0.52</v>
      </c>
      <c r="C15">
        <f t="shared" si="4"/>
        <v>31.200000000000003</v>
      </c>
      <c r="D15">
        <v>19.13</v>
      </c>
      <c r="E15">
        <v>1.34</v>
      </c>
      <c r="F15">
        <f t="shared" ref="F15" si="13">D15*E15</f>
        <v>25.6342</v>
      </c>
      <c r="G15">
        <f>D15/E15</f>
        <v>14.276119402985072</v>
      </c>
      <c r="H15">
        <v>21.643158</v>
      </c>
      <c r="I15">
        <v>1.6755800000000001</v>
      </c>
      <c r="J15">
        <v>19.152412000000002</v>
      </c>
      <c r="K15">
        <v>1.48275</v>
      </c>
      <c r="L15">
        <f t="shared" si="5"/>
        <v>12.91681807452369</v>
      </c>
      <c r="M15">
        <f t="shared" si="2"/>
        <v>0.11715629900681006</v>
      </c>
      <c r="N15">
        <f t="shared" si="3"/>
        <v>10.65298507462686</v>
      </c>
      <c r="O15">
        <f t="shared" si="0"/>
        <v>9.5215043394576764</v>
      </c>
      <c r="P15">
        <f t="shared" si="1"/>
        <v>82.160897435897425</v>
      </c>
    </row>
    <row r="16" spans="1:16" x14ac:dyDescent="0.25">
      <c r="A16">
        <v>60</v>
      </c>
      <c r="B16">
        <v>0.45</v>
      </c>
      <c r="C16">
        <f t="shared" si="4"/>
        <v>27</v>
      </c>
      <c r="D16">
        <v>19.5</v>
      </c>
      <c r="E16">
        <v>1.1200000000000001</v>
      </c>
      <c r="F16">
        <f>D16*E16</f>
        <v>21.840000000000003</v>
      </c>
      <c r="G16">
        <f t="shared" ref="G16:G19" si="14">D16/E16</f>
        <v>17.410714285714285</v>
      </c>
      <c r="H16">
        <v>21.647424999999998</v>
      </c>
      <c r="I16">
        <v>1.443203</v>
      </c>
      <c r="J16">
        <v>19.492190999999998</v>
      </c>
      <c r="K16">
        <v>1.299517</v>
      </c>
      <c r="L16">
        <f t="shared" ref="L16:L19" si="15">J16/K16</f>
        <v>14.999565992595709</v>
      </c>
      <c r="M16">
        <f t="shared" si="2"/>
        <v>4.0046153846162724E-2</v>
      </c>
      <c r="N16">
        <f t="shared" si="3"/>
        <v>16.028303571428562</v>
      </c>
      <c r="O16">
        <f t="shared" si="0"/>
        <v>13.848646606629767</v>
      </c>
      <c r="P16">
        <f t="shared" si="1"/>
        <v>80.8888888888889</v>
      </c>
    </row>
    <row r="17" spans="1:16" x14ac:dyDescent="0.25">
      <c r="A17">
        <v>60</v>
      </c>
      <c r="B17">
        <v>0.3</v>
      </c>
      <c r="C17">
        <f t="shared" ref="C17:C19" si="16">A15*B17</f>
        <v>18</v>
      </c>
      <c r="D17">
        <v>19.899999999999999</v>
      </c>
      <c r="E17">
        <v>0.65</v>
      </c>
      <c r="F17">
        <f t="shared" ref="F17:F19" si="17">D17*E17</f>
        <v>12.934999999999999</v>
      </c>
      <c r="G17">
        <f t="shared" si="14"/>
        <v>30.615384615384613</v>
      </c>
      <c r="H17">
        <v>21.917014999999999</v>
      </c>
      <c r="I17">
        <v>0.96918599999999999</v>
      </c>
      <c r="J17">
        <v>19.843899</v>
      </c>
      <c r="K17">
        <v>0.87751199999999996</v>
      </c>
      <c r="L17">
        <f t="shared" si="15"/>
        <v>22.613820665700299</v>
      </c>
      <c r="M17">
        <f t="shared" si="2"/>
        <v>0.28191457286431248</v>
      </c>
      <c r="N17">
        <f t="shared" si="3"/>
        <v>35.001846153846145</v>
      </c>
      <c r="O17">
        <f t="shared" si="0"/>
        <v>26.13576164469751</v>
      </c>
      <c r="P17">
        <f t="shared" si="1"/>
        <v>71.861111111111114</v>
      </c>
    </row>
    <row r="18" spans="1:16" x14ac:dyDescent="0.25">
      <c r="A18">
        <v>60</v>
      </c>
      <c r="B18">
        <v>0.16</v>
      </c>
      <c r="C18">
        <f t="shared" si="16"/>
        <v>9.6</v>
      </c>
      <c r="D18">
        <v>20.32</v>
      </c>
      <c r="E18">
        <v>0.17</v>
      </c>
      <c r="F18">
        <f t="shared" si="17"/>
        <v>3.4544000000000001</v>
      </c>
      <c r="G18">
        <f t="shared" si="14"/>
        <v>119.52941176470587</v>
      </c>
      <c r="H18">
        <v>21.658646000000001</v>
      </c>
      <c r="I18">
        <v>0.47305700000000001</v>
      </c>
      <c r="J18">
        <v>20.207394000000001</v>
      </c>
      <c r="K18">
        <v>0.441359</v>
      </c>
      <c r="L18">
        <f t="shared" si="15"/>
        <v>45.784483832888874</v>
      </c>
      <c r="M18">
        <f t="shared" si="2"/>
        <v>0.55416338582676938</v>
      </c>
      <c r="N18">
        <f t="shared" si="3"/>
        <v>159.62294117647059</v>
      </c>
      <c r="O18">
        <f t="shared" si="0"/>
        <v>61.696051911461069</v>
      </c>
      <c r="P18">
        <f t="shared" si="1"/>
        <v>35.983333333333334</v>
      </c>
    </row>
    <row r="19" spans="1:16" x14ac:dyDescent="0.25">
      <c r="A19">
        <v>60</v>
      </c>
      <c r="B19">
        <v>0.12</v>
      </c>
      <c r="C19">
        <f t="shared" si="16"/>
        <v>7.1999999999999993</v>
      </c>
      <c r="D19">
        <v>20.440000000000001</v>
      </c>
      <c r="E19">
        <v>0.04</v>
      </c>
      <c r="F19">
        <f t="shared" si="17"/>
        <v>0.8176000000000001</v>
      </c>
      <c r="G19">
        <f t="shared" si="14"/>
        <v>511</v>
      </c>
      <c r="H19">
        <v>21.662161000000001</v>
      </c>
      <c r="I19">
        <v>0.32171100000000002</v>
      </c>
      <c r="J19">
        <v>20.323677</v>
      </c>
      <c r="K19">
        <v>0.30183300000000002</v>
      </c>
      <c r="L19">
        <f t="shared" si="15"/>
        <v>67.334178171372912</v>
      </c>
      <c r="M19">
        <f t="shared" si="2"/>
        <v>0.56909491193738393</v>
      </c>
      <c r="N19">
        <f t="shared" si="3"/>
        <v>654.5825000000001</v>
      </c>
      <c r="O19">
        <f t="shared" si="0"/>
        <v>86.823057109320374</v>
      </c>
      <c r="P19">
        <f t="shared" si="1"/>
        <v>11.355555555555558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2026-01-29T10:58:07Z</dcterms:modified>
</cp:coreProperties>
</file>