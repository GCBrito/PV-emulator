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Kyocera KC85TS\Single diode model\G = 400 W.m^-2 and T = 25ºC\R load\"/>
    </mc:Choice>
  </mc:AlternateContent>
  <xr:revisionPtr revIDLastSave="0" documentId="13_ncr:1_{5E7ABE26-939A-4A49-8781-8080EDBAA06A}" xr6:coauthVersionLast="47" xr6:coauthVersionMax="47" xr10:uidLastSave="{00000000-0000-0000-0000-000000000000}"/>
  <bookViews>
    <workbookView xWindow="34785" yWindow="0" windowWidth="14610" windowHeight="15585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G15" i="1"/>
  <c r="G13" i="1"/>
  <c r="C17" i="1"/>
  <c r="F17" i="1"/>
  <c r="G17" i="1"/>
  <c r="L17" i="1"/>
  <c r="C18" i="1"/>
  <c r="F18" i="1"/>
  <c r="G18" i="1"/>
  <c r="L18" i="1"/>
  <c r="C19" i="1"/>
  <c r="F19" i="1"/>
  <c r="G19" i="1"/>
  <c r="L19" i="1"/>
  <c r="L16" i="1"/>
  <c r="G16" i="1"/>
  <c r="F16" i="1"/>
  <c r="C16" i="1"/>
  <c r="G12" i="1"/>
  <c r="L9" i="1"/>
  <c r="G9" i="1"/>
  <c r="F9" i="1"/>
  <c r="C9" i="1"/>
  <c r="L6" i="1"/>
  <c r="G6" i="1"/>
  <c r="F6" i="1"/>
  <c r="C6" i="1"/>
  <c r="L2" i="1"/>
  <c r="G2" i="1"/>
  <c r="F2" i="1"/>
  <c r="C2" i="1"/>
  <c r="C3" i="1"/>
  <c r="L3" i="1"/>
  <c r="G3" i="1"/>
  <c r="F3" i="1"/>
  <c r="L5" i="1"/>
  <c r="L7" i="1"/>
  <c r="L8" i="1"/>
  <c r="L10" i="1"/>
  <c r="L11" i="1"/>
  <c r="L12" i="1"/>
  <c r="L13" i="1"/>
  <c r="L14" i="1"/>
  <c r="L15" i="1"/>
  <c r="L4" i="1"/>
  <c r="C15" i="1"/>
  <c r="F15" i="1"/>
  <c r="G14" i="1"/>
  <c r="F14" i="1"/>
  <c r="C14" i="1"/>
  <c r="G4" i="1"/>
  <c r="F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O19" i="1" l="1"/>
  <c r="P19" i="1"/>
  <c r="O18" i="1"/>
  <c r="P18" i="1"/>
  <c r="O17" i="1"/>
  <c r="P17" i="1"/>
  <c r="O6" i="1"/>
  <c r="O9" i="1"/>
  <c r="P9" i="1"/>
  <c r="P6" i="1"/>
  <c r="O16" i="1"/>
  <c r="P16" i="1"/>
  <c r="O15" i="1"/>
  <c r="O2" i="1"/>
  <c r="P2" i="1"/>
  <c r="O3" i="1"/>
  <c r="P3" i="1"/>
  <c r="P14" i="1"/>
  <c r="P15" i="1"/>
  <c r="O14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<sst xmlns="http://schemas.openxmlformats.org/spreadsheetml/2006/main" count="16" uniqueCount="16">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</sst>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19"/>
  <sheetViews>
    <sheetView tabSelected="1" zoomScale="98" zoomScaleNormal="98" workbookViewId="0">
      <selection activeCell="H19" sqref="H19:L19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0.25</v>
      </c>
      <c r="C2">
        <f>A2*B2</f>
        <v>15</v>
      </c>
      <c r="D2">
        <v>4.12</v>
      </c>
      <c r="E2">
        <v>1.93</v>
      </c>
      <c r="F2">
        <f>D2*E2</f>
        <v>7.9516</v>
      </c>
      <c r="G2">
        <f>D2/E2</f>
        <v>2.1347150259067358</v>
      </c>
      <c r="H2">
        <v>22.491886000000001</v>
      </c>
      <c r="I2">
        <v>11.192251000000001</v>
      </c>
      <c r="J2">
        <v>4.2908369999999998</v>
      </c>
      <c r="K2">
        <v>2.135176</v>
      </c>
      <c r="L2">
        <f>J2/K2</f>
        <v>2.0095940568833668</v>
      </c>
      <c r="M2">
        <f>ABS(J2-D2)/D2*100</f>
        <v>4.1465291262135846</v>
      </c>
      <c r="N2">
        <f>ABS(K2-E2)/E2*100</f>
        <v>10.630880829015545</v>
      </c>
      <c r="O2">
        <f t="shared" ref="O2:O19" si="0">(ABS(L2-G2)/G2)*100</f>
        <v>5.8612492770655864</v>
      </c>
      <c r="P2">
        <f t="shared" ref="P2:P19" si="1">(F2/C2)*100</f>
        <v>53.010666666666658</v>
      </c>
    </row>
    <row r="3" spans="1:16" x14ac:dyDescent="0.25">
      <c r="A3">
        <v>60</v>
      </c>
      <c r="B3">
        <v>0.45</v>
      </c>
      <c r="C3">
        <f>A3*B3</f>
        <v>27</v>
      </c>
      <c r="D3">
        <v>9.94</v>
      </c>
      <c r="E3">
        <v>2.0499999999999998</v>
      </c>
      <c r="F3">
        <f>D3*E3</f>
        <v>20.376999999999999</v>
      </c>
      <c r="G3">
        <f>D3/E3</f>
        <v>4.8487804878048779</v>
      </c>
      <c r="H3">
        <v>22.785145</v>
      </c>
      <c r="I3">
        <v>4.7978719999999999</v>
      </c>
      <c r="J3">
        <v>10.134062</v>
      </c>
      <c r="K3">
        <v>2.133931</v>
      </c>
      <c r="L3">
        <f>J3/K3</f>
        <v>4.7490110973597552</v>
      </c>
      <c r="M3">
        <f t="shared" ref="M3:M19" si="2">ABS(J3-D3)/D3*100</f>
        <v>1.9523340040241512</v>
      </c>
      <c r="N3">
        <f t="shared" ref="N3:N19" si="3">ABS(K3-E3)/E3*100</f>
        <v>4.0941951219512296</v>
      </c>
      <c r="O3">
        <f t="shared" si="0"/>
        <v>2.0576182134054473</v>
      </c>
      <c r="P3">
        <f t="shared" si="1"/>
        <v>75.470370370370361</v>
      </c>
    </row>
    <row r="4" spans="1:16" x14ac:dyDescent="0.25">
      <c r="A4">
        <v>60</v>
      </c>
      <c r="B4">
        <v>0.54</v>
      </c>
      <c r="C4">
        <f t="shared" ref="C4:C16" si="4">A2*B4</f>
        <v>32.400000000000006</v>
      </c>
      <c r="D4">
        <v>12.48</v>
      </c>
      <c r="E4">
        <v>2.0699999999999998</v>
      </c>
      <c r="F4">
        <f>D4*E4</f>
        <v>25.833600000000001</v>
      </c>
      <c r="G4">
        <f>D4/E4</f>
        <v>6.0289855072463778</v>
      </c>
      <c r="H4">
        <v>22.494769999999999</v>
      </c>
      <c r="I4">
        <v>3.785123</v>
      </c>
      <c r="J4">
        <v>12.669167</v>
      </c>
      <c r="K4">
        <v>2.1318000000000001</v>
      </c>
      <c r="L4">
        <f>J4/K4</f>
        <v>5.9429435219063693</v>
      </c>
      <c r="M4">
        <f t="shared" si="2"/>
        <v>1.5157612179487132</v>
      </c>
      <c r="N4">
        <f t="shared" si="3"/>
        <v>2.9855072463768262</v>
      </c>
      <c r="O4">
        <f t="shared" si="0"/>
        <v>1.4271386991491795</v>
      </c>
      <c r="P4">
        <f t="shared" si="1"/>
        <v>79.73333333333332</v>
      </c>
    </row>
    <row r="5" spans="1:16" x14ac:dyDescent="0.25">
      <c r="A5">
        <v>60</v>
      </c>
      <c r="B5">
        <v>0.57999999999999996</v>
      </c>
      <c r="C5">
        <f t="shared" si="4"/>
        <v>34.799999999999997</v>
      </c>
      <c r="D5">
        <v>13.67</v>
      </c>
      <c r="E5" s="3">
        <v>2.1</v>
      </c>
      <c r="F5">
        <f>D5*E5</f>
        <v>28.707000000000001</v>
      </c>
      <c r="G5">
        <f>D5/E5</f>
        <v>6.5095238095238095</v>
      </c>
      <c r="H5">
        <v>22.494724000000001</v>
      </c>
      <c r="I5">
        <v>3.4639980000000001</v>
      </c>
      <c r="J5">
        <v>13.826796999999999</v>
      </c>
      <c r="K5">
        <v>2.12921</v>
      </c>
      <c r="L5">
        <f t="shared" ref="L5:L15" si="5">J5/K5</f>
        <v>6.4938625123872225</v>
      </c>
      <c r="M5">
        <f t="shared" si="2"/>
        <v>1.1470153621067973</v>
      </c>
      <c r="N5">
        <f t="shared" si="3"/>
        <v>1.3909523809523789</v>
      </c>
      <c r="O5">
        <f t="shared" si="0"/>
        <v>0.2405905192891937</v>
      </c>
      <c r="P5">
        <f t="shared" si="1"/>
        <v>82.49137931034484</v>
      </c>
    </row>
    <row r="6" spans="1:16" x14ac:dyDescent="0.25">
      <c r="A6">
        <v>60</v>
      </c>
      <c r="B6">
        <v>0.63</v>
      </c>
      <c r="C6">
        <f t="shared" si="4"/>
        <v>37.799999999999997</v>
      </c>
      <c r="D6">
        <v>14.87</v>
      </c>
      <c r="E6" s="3">
        <v>2.06</v>
      </c>
      <c r="F6">
        <f>D6*E6</f>
        <v>30.632199999999997</v>
      </c>
      <c r="G6">
        <f>D6/E6</f>
        <v>7.2184466019417473</v>
      </c>
      <c r="H6">
        <v>22.785276</v>
      </c>
      <c r="I6">
        <v>3.2200890000000002</v>
      </c>
      <c r="J6">
        <v>15.001448999999999</v>
      </c>
      <c r="K6">
        <v>2.120053</v>
      </c>
      <c r="L6">
        <f t="shared" ref="L6" si="6">J6/K6</f>
        <v>7.0759782892220144</v>
      </c>
      <c r="M6">
        <f t="shared" si="2"/>
        <v>0.88398789509078635</v>
      </c>
      <c r="N6">
        <f t="shared" si="3"/>
        <v>2.9151941747572772</v>
      </c>
      <c r="O6">
        <f t="shared" si="0"/>
        <v>1.9736699677380607</v>
      </c>
      <c r="P6">
        <f t="shared" si="1"/>
        <v>81.037566137566145</v>
      </c>
    </row>
    <row r="7" spans="1:16" x14ac:dyDescent="0.25">
      <c r="A7">
        <v>60</v>
      </c>
      <c r="B7">
        <v>0.64</v>
      </c>
      <c r="C7">
        <f t="shared" si="4"/>
        <v>38.4</v>
      </c>
      <c r="D7">
        <v>15.52</v>
      </c>
      <c r="E7">
        <v>2.04</v>
      </c>
      <c r="F7">
        <f t="shared" ref="F7" si="7">D7*E7</f>
        <v>31.660799999999998</v>
      </c>
      <c r="G7">
        <f t="shared" ref="G7" si="8">D7/E7</f>
        <v>7.6078431372549016</v>
      </c>
      <c r="H7">
        <v>22.492457999999999</v>
      </c>
      <c r="I7">
        <v>3.0394369999999999</v>
      </c>
      <c r="J7">
        <v>15.612347</v>
      </c>
      <c r="K7">
        <v>2.109718</v>
      </c>
      <c r="L7">
        <f t="shared" si="5"/>
        <v>7.4002056198980144</v>
      </c>
      <c r="M7">
        <f t="shared" si="2"/>
        <v>0.59501932989690842</v>
      </c>
      <c r="N7">
        <f t="shared" si="3"/>
        <v>3.4175490196078409</v>
      </c>
      <c r="O7">
        <f t="shared" si="0"/>
        <v>2.7292560271137236</v>
      </c>
      <c r="P7">
        <f t="shared" si="1"/>
        <v>82.45</v>
      </c>
    </row>
    <row r="8" spans="1:16" x14ac:dyDescent="0.25">
      <c r="A8">
        <v>60</v>
      </c>
      <c r="B8">
        <v>0.65</v>
      </c>
      <c r="C8">
        <f t="shared" si="4"/>
        <v>39</v>
      </c>
      <c r="D8">
        <v>16.05</v>
      </c>
      <c r="E8">
        <v>2.0299999999999998</v>
      </c>
      <c r="F8">
        <f>D8*E8</f>
        <v>32.581499999999998</v>
      </c>
      <c r="G8">
        <f t="shared" ref="G8:G12" si="9">D8/E8</f>
        <v>7.9064039408867002</v>
      </c>
      <c r="H8">
        <v>22.494221</v>
      </c>
      <c r="I8">
        <v>2.9106960000000002</v>
      </c>
      <c r="J8">
        <v>16.172581000000001</v>
      </c>
      <c r="K8">
        <v>2.0926909999999999</v>
      </c>
      <c r="L8">
        <f t="shared" si="5"/>
        <v>7.7281266082761393</v>
      </c>
      <c r="M8">
        <f t="shared" si="2"/>
        <v>0.76374454828660598</v>
      </c>
      <c r="N8">
        <f t="shared" si="3"/>
        <v>3.0882266009852244</v>
      </c>
      <c r="O8">
        <f t="shared" si="0"/>
        <v>2.2548472598095861</v>
      </c>
      <c r="P8">
        <f t="shared" si="1"/>
        <v>83.542307692307688</v>
      </c>
    </row>
    <row r="9" spans="1:16" x14ac:dyDescent="0.25">
      <c r="A9">
        <v>60</v>
      </c>
      <c r="B9">
        <v>0.68</v>
      </c>
      <c r="C9">
        <f t="shared" si="4"/>
        <v>40.800000000000004</v>
      </c>
      <c r="D9">
        <v>16.489999999999998</v>
      </c>
      <c r="E9">
        <v>2.0499999999999998</v>
      </c>
      <c r="F9">
        <f>D9*E9</f>
        <v>33.804499999999997</v>
      </c>
      <c r="G9">
        <f t="shared" ref="G9" si="10">D9/E9</f>
        <v>8.0439024390243894</v>
      </c>
      <c r="H9">
        <v>22.784503999999998</v>
      </c>
      <c r="I9">
        <v>2.841723</v>
      </c>
      <c r="J9">
        <v>16.606221999999999</v>
      </c>
      <c r="K9">
        <v>2.0711569999999999</v>
      </c>
      <c r="L9">
        <f t="shared" ref="L9" si="11">J9/K9</f>
        <v>8.0178479951061163</v>
      </c>
      <c r="M9">
        <f t="shared" si="2"/>
        <v>0.70480291085506674</v>
      </c>
      <c r="N9">
        <f t="shared" si="3"/>
        <v>1.0320487804878093</v>
      </c>
      <c r="O9">
        <f t="shared" si="0"/>
        <v>0.32390303233753648</v>
      </c>
      <c r="P9">
        <f t="shared" si="1"/>
        <v>82.854166666666657</v>
      </c>
    </row>
    <row r="10" spans="1:16" x14ac:dyDescent="0.25">
      <c r="A10">
        <v>60</v>
      </c>
      <c r="B10">
        <v>0.68</v>
      </c>
      <c r="C10">
        <f t="shared" si="4"/>
        <v>40.800000000000004</v>
      </c>
      <c r="D10">
        <v>16.989999999999998</v>
      </c>
      <c r="E10">
        <v>2</v>
      </c>
      <c r="F10">
        <f>D10*E10</f>
        <v>33.979999999999997</v>
      </c>
      <c r="G10">
        <f>D10/E10</f>
        <v>8.4949999999999992</v>
      </c>
      <c r="H10">
        <v>22.493919000000002</v>
      </c>
      <c r="I10">
        <v>2.6759400000000002</v>
      </c>
      <c r="J10">
        <v>17.095009000000001</v>
      </c>
      <c r="K10">
        <v>2.0336699999999999</v>
      </c>
      <c r="L10">
        <f t="shared" si="5"/>
        <v>8.4059896640064533</v>
      </c>
      <c r="M10">
        <f t="shared" si="2"/>
        <v>0.61806356680401753</v>
      </c>
      <c r="N10">
        <f t="shared" si="3"/>
        <v>1.6834999999999933</v>
      </c>
      <c r="O10">
        <f t="shared" si="0"/>
        <v>1.0477967744973031</v>
      </c>
      <c r="P10">
        <f t="shared" si="1"/>
        <v>83.284313725490179</v>
      </c>
    </row>
    <row r="11" spans="1:16" x14ac:dyDescent="0.25">
      <c r="A11">
        <v>60</v>
      </c>
      <c r="B11">
        <v>0.67</v>
      </c>
      <c r="C11">
        <f t="shared" si="4"/>
        <v>40.200000000000003</v>
      </c>
      <c r="D11">
        <v>17.41</v>
      </c>
      <c r="E11">
        <v>1.94</v>
      </c>
      <c r="F11">
        <f>D11*E11</f>
        <v>33.775399999999998</v>
      </c>
      <c r="G11">
        <f t="shared" si="9"/>
        <v>8.9742268041237114</v>
      </c>
      <c r="H11">
        <v>22.494114</v>
      </c>
      <c r="I11">
        <v>2.549509</v>
      </c>
      <c r="J11">
        <v>17.511776000000001</v>
      </c>
      <c r="K11">
        <v>1.9848049999999999</v>
      </c>
      <c r="L11">
        <f t="shared" si="5"/>
        <v>8.8229201357312181</v>
      </c>
      <c r="M11">
        <f t="shared" si="2"/>
        <v>0.58458357265939676</v>
      </c>
      <c r="N11">
        <f t="shared" si="3"/>
        <v>2.3095360824742261</v>
      </c>
      <c r="O11">
        <f t="shared" si="0"/>
        <v>1.6860134214901605</v>
      </c>
      <c r="P11">
        <f t="shared" si="1"/>
        <v>84.018407960198999</v>
      </c>
    </row>
    <row r="12" spans="1:16" x14ac:dyDescent="0.25">
      <c r="A12">
        <v>60</v>
      </c>
      <c r="B12">
        <v>0.65</v>
      </c>
      <c r="C12">
        <f t="shared" si="4"/>
        <v>39</v>
      </c>
      <c r="D12">
        <v>17.97</v>
      </c>
      <c r="E12">
        <v>1.81</v>
      </c>
      <c r="F12">
        <f>D12*E12</f>
        <v>32.525700000000001</v>
      </c>
      <c r="G12">
        <f t="shared" si="9"/>
        <v>9.928176795580109</v>
      </c>
      <c r="H12">
        <v>22.494651999999999</v>
      </c>
      <c r="I12">
        <v>2.3565119999999999</v>
      </c>
      <c r="J12">
        <v>18.038937000000001</v>
      </c>
      <c r="K12">
        <v>1.889737</v>
      </c>
      <c r="L12">
        <f t="shared" si="5"/>
        <v>9.5457394335825576</v>
      </c>
      <c r="M12">
        <f t="shared" si="2"/>
        <v>0.38362270450752256</v>
      </c>
      <c r="N12">
        <f t="shared" si="3"/>
        <v>4.4053591160220966</v>
      </c>
      <c r="O12">
        <f t="shared" si="0"/>
        <v>3.85204020709832</v>
      </c>
      <c r="P12">
        <f t="shared" si="1"/>
        <v>83.399230769230769</v>
      </c>
    </row>
    <row r="13" spans="1:16" x14ac:dyDescent="0.25">
      <c r="A13">
        <v>60</v>
      </c>
      <c r="B13">
        <v>0.62</v>
      </c>
      <c r="C13">
        <f t="shared" si="4"/>
        <v>37.200000000000003</v>
      </c>
      <c r="D13">
        <v>18.36</v>
      </c>
      <c r="E13">
        <v>1.7</v>
      </c>
      <c r="F13">
        <f t="shared" ref="F13:F14" si="12">D13*E13</f>
        <v>31.212</v>
      </c>
      <c r="G13">
        <f>D13/E13</f>
        <v>10.8</v>
      </c>
      <c r="H13">
        <v>22.495331</v>
      </c>
      <c r="I13">
        <v>2.1689919999999998</v>
      </c>
      <c r="J13">
        <v>18.432518000000002</v>
      </c>
      <c r="K13">
        <v>1.7772570000000001</v>
      </c>
      <c r="L13">
        <f t="shared" si="5"/>
        <v>10.371329526343123</v>
      </c>
      <c r="M13">
        <f t="shared" si="2"/>
        <v>0.39497821350763784</v>
      </c>
      <c r="N13">
        <f t="shared" si="3"/>
        <v>4.5445294117647137</v>
      </c>
      <c r="O13">
        <f t="shared" si="0"/>
        <v>3.969171052378496</v>
      </c>
      <c r="P13">
        <f t="shared" si="1"/>
        <v>83.903225806451616</v>
      </c>
    </row>
    <row r="14" spans="1:16" x14ac:dyDescent="0.25">
      <c r="A14">
        <v>60</v>
      </c>
      <c r="B14">
        <v>0.56999999999999995</v>
      </c>
      <c r="C14">
        <f t="shared" si="4"/>
        <v>34.199999999999996</v>
      </c>
      <c r="D14">
        <v>18.78</v>
      </c>
      <c r="E14">
        <v>1.53</v>
      </c>
      <c r="F14">
        <f t="shared" si="12"/>
        <v>28.733400000000003</v>
      </c>
      <c r="G14">
        <f>D14/E14</f>
        <v>12.274509803921569</v>
      </c>
      <c r="H14">
        <v>22.497145</v>
      </c>
      <c r="I14">
        <v>1.9506749999999999</v>
      </c>
      <c r="J14">
        <v>18.831503000000001</v>
      </c>
      <c r="K14">
        <v>1.632836</v>
      </c>
      <c r="L14">
        <f t="shared" si="5"/>
        <v>11.533003314478615</v>
      </c>
      <c r="M14">
        <f t="shared" si="2"/>
        <v>0.2742438764643253</v>
      </c>
      <c r="N14">
        <f t="shared" si="3"/>
        <v>6.721307189542479</v>
      </c>
      <c r="O14">
        <f t="shared" si="0"/>
        <v>6.0410273101582579</v>
      </c>
      <c r="P14">
        <f t="shared" si="1"/>
        <v>84.015789473684237</v>
      </c>
    </row>
    <row r="15" spans="1:16" x14ac:dyDescent="0.25">
      <c r="A15">
        <v>60</v>
      </c>
      <c r="B15">
        <v>0.52</v>
      </c>
      <c r="C15">
        <f t="shared" si="4"/>
        <v>31.200000000000003</v>
      </c>
      <c r="D15">
        <v>19.12</v>
      </c>
      <c r="E15">
        <v>1.35</v>
      </c>
      <c r="F15">
        <f t="shared" ref="F15" si="13">D15*E15</f>
        <v>25.812000000000005</v>
      </c>
      <c r="G15">
        <f>D15/E15</f>
        <v>14.162962962962963</v>
      </c>
      <c r="H15">
        <v>22.500510999999999</v>
      </c>
      <c r="I15">
        <v>1.7198439999999999</v>
      </c>
      <c r="J15">
        <v>19.143657999999999</v>
      </c>
      <c r="K15">
        <v>1.46326</v>
      </c>
      <c r="L15">
        <f t="shared" si="5"/>
        <v>13.08288205787078</v>
      </c>
      <c r="M15">
        <f t="shared" si="2"/>
        <v>0.12373430962341796</v>
      </c>
      <c r="N15">
        <f t="shared" si="3"/>
        <v>8.3896296296296224</v>
      </c>
      <c r="O15">
        <f t="shared" si="0"/>
        <v>7.6260942566655192</v>
      </c>
      <c r="P15">
        <f t="shared" si="1"/>
        <v>82.730769230769241</v>
      </c>
    </row>
    <row r="16" spans="1:16" x14ac:dyDescent="0.25">
      <c r="A16">
        <v>60</v>
      </c>
      <c r="B16">
        <v>0.46</v>
      </c>
      <c r="C16">
        <f t="shared" si="4"/>
        <v>27.6</v>
      </c>
      <c r="D16">
        <v>19.48</v>
      </c>
      <c r="E16">
        <v>1.1399999999999999</v>
      </c>
      <c r="F16">
        <f>D16*E16</f>
        <v>22.2072</v>
      </c>
      <c r="G16">
        <f t="shared" ref="G16:G19" si="14">D16/E16</f>
        <v>17.087719298245617</v>
      </c>
      <c r="H16">
        <v>22.504716999999999</v>
      </c>
      <c r="I16">
        <v>1.4841310000000001</v>
      </c>
      <c r="J16">
        <v>19.473244000000001</v>
      </c>
      <c r="K16">
        <v>1.284213</v>
      </c>
      <c r="L16">
        <f t="shared" ref="L16:L19" si="15">J16/K16</f>
        <v>15.163562430842859</v>
      </c>
      <c r="M16">
        <f t="shared" si="2"/>
        <v>3.4681724845992391E-2</v>
      </c>
      <c r="N16">
        <f t="shared" si="3"/>
        <v>12.65026315789475</v>
      </c>
      <c r="O16">
        <f t="shared" si="0"/>
        <v>11.260466267141393</v>
      </c>
      <c r="P16">
        <f t="shared" si="1"/>
        <v>80.460869565217379</v>
      </c>
    </row>
    <row r="17" spans="1:16" x14ac:dyDescent="0.25">
      <c r="A17">
        <v>60</v>
      </c>
      <c r="B17">
        <v>0.31</v>
      </c>
      <c r="C17">
        <f t="shared" ref="C17:C19" si="16">A15*B17</f>
        <v>18.600000000000001</v>
      </c>
      <c r="D17">
        <v>19.86</v>
      </c>
      <c r="E17">
        <v>0.68</v>
      </c>
      <c r="F17">
        <f t="shared" ref="F17:F19" si="17">D17*E17</f>
        <v>13.504800000000001</v>
      </c>
      <c r="G17">
        <f t="shared" si="14"/>
        <v>29.205882352941174</v>
      </c>
      <c r="H17">
        <v>22.512615</v>
      </c>
      <c r="I17">
        <v>0.99190299999999998</v>
      </c>
      <c r="J17">
        <v>19.819203999999999</v>
      </c>
      <c r="K17">
        <v>0.87323099999999998</v>
      </c>
      <c r="L17">
        <f t="shared" si="15"/>
        <v>22.696404502359627</v>
      </c>
      <c r="M17">
        <f t="shared" si="2"/>
        <v>0.20541792547834983</v>
      </c>
      <c r="N17">
        <f t="shared" si="3"/>
        <v>28.416323529411752</v>
      </c>
      <c r="O17">
        <f t="shared" si="0"/>
        <v>22.288242388698148</v>
      </c>
      <c r="P17">
        <f t="shared" si="1"/>
        <v>72.606451612903228</v>
      </c>
    </row>
    <row r="18" spans="1:16" x14ac:dyDescent="0.25">
      <c r="A18">
        <v>60</v>
      </c>
      <c r="B18">
        <v>0.16</v>
      </c>
      <c r="C18">
        <f t="shared" si="16"/>
        <v>9.6</v>
      </c>
      <c r="D18">
        <v>20.28</v>
      </c>
      <c r="E18">
        <v>0.18</v>
      </c>
      <c r="F18">
        <f t="shared" si="17"/>
        <v>3.6503999999999999</v>
      </c>
      <c r="G18">
        <f t="shared" si="14"/>
        <v>112.66666666666667</v>
      </c>
      <c r="H18">
        <v>22.518124</v>
      </c>
      <c r="I18">
        <v>0.45316400000000001</v>
      </c>
      <c r="J18">
        <v>20.202764999999999</v>
      </c>
      <c r="K18">
        <v>0.40656900000000001</v>
      </c>
      <c r="L18">
        <f t="shared" si="15"/>
        <v>49.690864281339692</v>
      </c>
      <c r="M18">
        <f t="shared" si="2"/>
        <v>0.38084319526628063</v>
      </c>
      <c r="N18">
        <f t="shared" si="3"/>
        <v>125.8716666666667</v>
      </c>
      <c r="O18">
        <f t="shared" si="0"/>
        <v>55.89568259052691</v>
      </c>
      <c r="P18">
        <f t="shared" si="1"/>
        <v>38.024999999999999</v>
      </c>
    </row>
    <row r="19" spans="1:16" x14ac:dyDescent="0.25">
      <c r="A19">
        <v>60</v>
      </c>
      <c r="B19">
        <v>0.12</v>
      </c>
      <c r="C19">
        <f t="shared" si="16"/>
        <v>7.1999999999999993</v>
      </c>
      <c r="D19">
        <v>20.399999999999999</v>
      </c>
      <c r="E19">
        <v>0.05</v>
      </c>
      <c r="F19">
        <f t="shared" si="17"/>
        <v>1.02</v>
      </c>
      <c r="G19">
        <f t="shared" si="14"/>
        <v>407.99999999999994</v>
      </c>
      <c r="H19">
        <v>22.518229999999999</v>
      </c>
      <c r="I19">
        <v>0.31775900000000001</v>
      </c>
      <c r="J19">
        <v>20.301469999999998</v>
      </c>
      <c r="K19">
        <v>0.28647800000000001</v>
      </c>
      <c r="L19">
        <f t="shared" si="15"/>
        <v>70.865720927959558</v>
      </c>
      <c r="M19">
        <f t="shared" si="2"/>
        <v>0.48299019607843258</v>
      </c>
      <c r="N19">
        <f t="shared" si="3"/>
        <v>472.95600000000002</v>
      </c>
      <c r="O19">
        <f t="shared" si="0"/>
        <v>82.63095075295108</v>
      </c>
      <c r="P19">
        <f t="shared" si="1"/>
        <v>14.16666666666667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2026-03-12T17:02:22Z</dcterms:modified>
</cp:coreProperties>
</file>