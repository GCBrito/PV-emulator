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Kyocera KC200GT\Single-diode model\G = 511 W.m^-2 and T = 54.3 ºC\"/>
    </mc:Choice>
  </mc:AlternateContent>
  <xr:revisionPtr revIDLastSave="0" documentId="13_ncr:1_{8A139D6B-35A4-41FE-9A03-BDF38A6CCC5D}" xr6:coauthVersionLast="47" xr6:coauthVersionMax="47" xr10:uidLastSave="{00000000-0000-0000-0000-000000000000}"/>
  <bookViews>
    <workbookView xWindow="-120" yWindow="-120" windowWidth="20730" windowHeight="11040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F21" i="1"/>
  <c r="P21" i="1" s="1"/>
  <c r="G21" i="1"/>
  <c r="L21" i="1"/>
  <c r="O21" i="1" s="1"/>
  <c r="M21" i="1"/>
  <c r="N21" i="1"/>
  <c r="C22" i="1"/>
  <c r="F22" i="1"/>
  <c r="G22" i="1"/>
  <c r="L22" i="1"/>
  <c r="M22" i="1"/>
  <c r="N22" i="1"/>
  <c r="O22" i="1"/>
  <c r="P22" i="1"/>
  <c r="C20" i="1"/>
  <c r="F20" i="1"/>
  <c r="G20" i="1"/>
  <c r="L20" i="1"/>
  <c r="M20" i="1"/>
  <c r="N2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G17" i="1"/>
  <c r="L4" i="1"/>
  <c r="G4" i="1"/>
  <c r="F4" i="1"/>
  <c r="C4" i="1"/>
  <c r="C13" i="1"/>
  <c r="F13" i="1"/>
  <c r="G13" i="1"/>
  <c r="L13" i="1"/>
  <c r="C14" i="1"/>
  <c r="F14" i="1"/>
  <c r="G14" i="1"/>
  <c r="L14" i="1"/>
  <c r="C15" i="1"/>
  <c r="F15" i="1"/>
  <c r="G15" i="1"/>
  <c r="L15" i="1"/>
  <c r="C16" i="1"/>
  <c r="F16" i="1"/>
  <c r="G16" i="1"/>
  <c r="L16" i="1"/>
  <c r="C17" i="1"/>
  <c r="F17" i="1"/>
  <c r="L17" i="1"/>
  <c r="C18" i="1"/>
  <c r="F18" i="1"/>
  <c r="G18" i="1"/>
  <c r="L18" i="1"/>
  <c r="C19" i="1"/>
  <c r="F19" i="1"/>
  <c r="G19" i="1"/>
  <c r="L19" i="1"/>
  <c r="O20" i="1" l="1"/>
  <c r="P20" i="1"/>
  <c r="O4" i="1"/>
  <c r="P4" i="1"/>
  <c r="O19" i="1"/>
  <c r="P19" i="1"/>
  <c r="O18" i="1"/>
  <c r="P18" i="1"/>
  <c r="O17" i="1"/>
  <c r="P17" i="1"/>
  <c r="O16" i="1"/>
  <c r="P16" i="1"/>
  <c r="O15" i="1"/>
  <c r="P15" i="1"/>
  <c r="O14" i="1"/>
  <c r="P14" i="1"/>
  <c r="O13" i="1"/>
  <c r="P13" i="1"/>
  <c r="L12" i="1"/>
  <c r="G12" i="1"/>
  <c r="F12" i="1"/>
  <c r="C12" i="1"/>
  <c r="G2" i="1"/>
  <c r="C3" i="1"/>
  <c r="L5" i="1"/>
  <c r="G5" i="1"/>
  <c r="F5" i="1"/>
  <c r="C5" i="1"/>
  <c r="C2" i="1"/>
  <c r="F2" i="1"/>
  <c r="L2" i="1"/>
  <c r="L3" i="1"/>
  <c r="G9" i="1"/>
  <c r="L7" i="1"/>
  <c r="G7" i="1"/>
  <c r="F7" i="1"/>
  <c r="C7" i="1"/>
  <c r="L8" i="1"/>
  <c r="G8" i="1"/>
  <c r="F8" i="1"/>
  <c r="C8" i="1"/>
  <c r="L6" i="1"/>
  <c r="F6" i="1"/>
  <c r="G6" i="1"/>
  <c r="C6" i="1"/>
  <c r="L9" i="1"/>
  <c r="L10" i="1"/>
  <c r="L11" i="1"/>
  <c r="G10" i="1"/>
  <c r="G11" i="1"/>
  <c r="F9" i="1"/>
  <c r="F10" i="1"/>
  <c r="F11" i="1"/>
  <c r="C9" i="1"/>
  <c r="C10" i="1"/>
  <c r="C11" i="1"/>
  <c r="G3" i="1"/>
  <c r="F3" i="1"/>
  <c r="O12" i="1" l="1"/>
  <c r="P12" i="1"/>
  <c r="P5" i="1"/>
  <c r="O5" i="1"/>
  <c r="P6" i="1"/>
  <c r="P3" i="1"/>
  <c r="O2" i="1"/>
  <c r="P2" i="1"/>
  <c r="O7" i="1"/>
  <c r="P7" i="1"/>
  <c r="O8" i="1"/>
  <c r="P8" i="1"/>
  <c r="P10" i="1"/>
  <c r="O6" i="1"/>
  <c r="O11" i="1"/>
  <c r="O10" i="1"/>
  <c r="P11" i="1"/>
  <c r="P9" i="1"/>
  <c r="O9" i="1"/>
  <c r="O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<sst xmlns="http://schemas.openxmlformats.org/spreadsheetml/2006/main" count="16" uniqueCount="16">
  <si>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</si>
  <si>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</si>
  <si>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</si>
  <si>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</si>
  <si>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</si>
  <si>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</si>
  <si>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</si>
  <si>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</si>
  <si>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</si>
  <si>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</si>
  <si>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</si>
  <si>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</si>
  <si>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</si>
  <si>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</si>
  <si>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 Error (%)</t>
  </si>
  <si>
    <t>I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</si>
</sst>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22"/>
  <sheetViews>
    <sheetView tabSelected="1" topLeftCell="A4" zoomScaleNormal="100" workbookViewId="0">
      <selection activeCell="Q13" sqref="Q13"/>
    </sheetView>
  </sheetViews>
  <sheetFormatPr defaultColWidth="9.140625" defaultRowHeight="15" x14ac:dyDescent="0.25"/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0.97</v>
      </c>
      <c r="C2">
        <f>A2*B2</f>
        <v>58.199999999999996</v>
      </c>
      <c r="D2">
        <v>12.22</v>
      </c>
      <c r="E2">
        <v>4.0999999999999996</v>
      </c>
      <c r="F2">
        <f>D2*E2</f>
        <v>50.101999999999997</v>
      </c>
      <c r="G2">
        <f>D2/E2</f>
        <v>2.9804878048780492</v>
      </c>
      <c r="H2">
        <v>30.799537999999998</v>
      </c>
      <c r="I2">
        <v>10.383743000000001</v>
      </c>
      <c r="J2">
        <v>12.533917000000001</v>
      </c>
      <c r="K2">
        <v>4.2256790000000004</v>
      </c>
      <c r="L2">
        <f>J2/K2</f>
        <v>2.9661308868941534</v>
      </c>
      <c r="M2">
        <f>ABS(J2-D2)/D2*100</f>
        <v>2.5688788870703765</v>
      </c>
      <c r="N2">
        <f>ABS(K2-E2)/E2*100</f>
        <v>3.065341463414653</v>
      </c>
      <c r="O2">
        <f t="shared" ref="O2:O19" si="0">(ABS(L2-G2)/G2)*100</f>
        <v>0.48169692089994159</v>
      </c>
      <c r="P2">
        <f t="shared" ref="P2:P19" si="1">(F2/C2)*100</f>
        <v>86.085910652920958</v>
      </c>
    </row>
    <row r="3" spans="1:16" x14ac:dyDescent="0.25">
      <c r="A3">
        <v>60</v>
      </c>
      <c r="B3">
        <v>1.1599999999999999</v>
      </c>
      <c r="C3">
        <f>A3*B3</f>
        <v>69.599999999999994</v>
      </c>
      <c r="D3">
        <v>14.38</v>
      </c>
      <c r="E3" s="3">
        <v>4.33</v>
      </c>
      <c r="F3">
        <f>D3*E3</f>
        <v>62.265400000000007</v>
      </c>
      <c r="G3">
        <f>D3/E3</f>
        <v>3.3210161662817552</v>
      </c>
      <c r="H3">
        <v>30.407264999999999</v>
      </c>
      <c r="I3">
        <v>8.7217599999999997</v>
      </c>
      <c r="J3">
        <v>14.705232000000001</v>
      </c>
      <c r="K3">
        <v>4.2179229999999999</v>
      </c>
      <c r="L3">
        <f>J3/K3</f>
        <v>3.4863680536605339</v>
      </c>
      <c r="M3">
        <f t="shared" ref="M3:M19" si="2">ABS(J3-D3)/D3*100</f>
        <v>2.2616968011126546</v>
      </c>
      <c r="N3">
        <f t="shared" ref="N3:N19" si="3">ABS(K3-E3)/E3*100</f>
        <v>2.5883833718244853</v>
      </c>
      <c r="O3">
        <f t="shared" si="0"/>
        <v>4.9789546060508467</v>
      </c>
      <c r="P3">
        <f t="shared" si="1"/>
        <v>89.461781609195427</v>
      </c>
    </row>
    <row r="4" spans="1:16" x14ac:dyDescent="0.25">
      <c r="A4">
        <v>60</v>
      </c>
      <c r="B4">
        <v>1.31</v>
      </c>
      <c r="C4">
        <f>A4*B4</f>
        <v>78.600000000000009</v>
      </c>
      <c r="D4">
        <v>16.989999999999998</v>
      </c>
      <c r="E4" s="3">
        <v>4.1399999999999997</v>
      </c>
      <c r="F4">
        <f>D4*E4</f>
        <v>70.338599999999985</v>
      </c>
      <c r="G4">
        <f>D4/E4</f>
        <v>4.1038647342995169</v>
      </c>
      <c r="H4">
        <v>30.411446000000002</v>
      </c>
      <c r="I4">
        <v>7.3849530000000003</v>
      </c>
      <c r="J4">
        <v>17.256174000000001</v>
      </c>
      <c r="K4">
        <v>4.1903969999999999</v>
      </c>
      <c r="L4">
        <f>J4/K4</f>
        <v>4.1180284350146303</v>
      </c>
      <c r="M4">
        <f t="shared" si="2"/>
        <v>1.5666509711595236</v>
      </c>
      <c r="N4">
        <f t="shared" si="3"/>
        <v>1.2173188405797164</v>
      </c>
      <c r="O4">
        <f t="shared" si="0"/>
        <v>0.34513078846715439</v>
      </c>
      <c r="P4">
        <f t="shared" si="1"/>
        <v>89.489312977099218</v>
      </c>
    </row>
    <row r="5" spans="1:16" x14ac:dyDescent="0.25">
      <c r="A5">
        <v>60</v>
      </c>
      <c r="B5">
        <v>1.35</v>
      </c>
      <c r="C5">
        <f t="shared" ref="C5" si="4">A5*B5</f>
        <v>81</v>
      </c>
      <c r="D5">
        <v>17.78</v>
      </c>
      <c r="E5">
        <v>4.09</v>
      </c>
      <c r="F5">
        <f t="shared" ref="F5" si="5">D5*E5</f>
        <v>72.720200000000006</v>
      </c>
      <c r="G5">
        <f t="shared" ref="G5" si="6">D5/E5</f>
        <v>4.3471882640586799</v>
      </c>
      <c r="H5">
        <v>30.412125</v>
      </c>
      <c r="I5">
        <v>7.033544</v>
      </c>
      <c r="J5">
        <v>18.053395999999999</v>
      </c>
      <c r="K5">
        <v>4.175287</v>
      </c>
      <c r="L5">
        <f t="shared" ref="L5" si="7">J5/K5</f>
        <v>4.323869472924855</v>
      </c>
      <c r="M5">
        <f t="shared" si="2"/>
        <v>1.5376602924634319</v>
      </c>
      <c r="N5">
        <f t="shared" si="3"/>
        <v>2.0852567237163844</v>
      </c>
      <c r="O5">
        <f t="shared" si="0"/>
        <v>0.53641088716166263</v>
      </c>
      <c r="P5">
        <f t="shared" si="1"/>
        <v>89.778024691358027</v>
      </c>
    </row>
    <row r="6" spans="1:16" x14ac:dyDescent="0.25">
      <c r="A6">
        <v>60</v>
      </c>
      <c r="B6">
        <v>1.4</v>
      </c>
      <c r="C6">
        <f>A6*B6</f>
        <v>84</v>
      </c>
      <c r="D6">
        <v>18.53</v>
      </c>
      <c r="E6">
        <v>4.0999999999999996</v>
      </c>
      <c r="F6">
        <f>D6*E6</f>
        <v>75.972999999999999</v>
      </c>
      <c r="G6">
        <f>D6/E6</f>
        <v>4.5195121951219521</v>
      </c>
      <c r="H6">
        <v>30.408638</v>
      </c>
      <c r="I6">
        <v>6.7417230000000004</v>
      </c>
      <c r="J6">
        <v>18.770275000000002</v>
      </c>
      <c r="K6">
        <v>4.1614490000000002</v>
      </c>
      <c r="L6">
        <f>J6/K6</f>
        <v>4.510514246359862</v>
      </c>
      <c r="M6">
        <f t="shared" si="2"/>
        <v>1.2966810577442009</v>
      </c>
      <c r="N6">
        <f t="shared" si="3"/>
        <v>1.4987560975609886</v>
      </c>
      <c r="O6">
        <f t="shared" si="0"/>
        <v>0.19909114908024605</v>
      </c>
      <c r="P6">
        <f t="shared" si="1"/>
        <v>90.444047619047623</v>
      </c>
    </row>
    <row r="7" spans="1:16" x14ac:dyDescent="0.25">
      <c r="A7">
        <v>60</v>
      </c>
      <c r="B7">
        <v>1.45</v>
      </c>
      <c r="C7">
        <f>A7*B7</f>
        <v>87</v>
      </c>
      <c r="D7">
        <v>19.18</v>
      </c>
      <c r="E7">
        <v>4.1399999999999997</v>
      </c>
      <c r="F7">
        <f>D7*E7</f>
        <v>79.405199999999994</v>
      </c>
      <c r="G7">
        <f>D7/E7</f>
        <v>4.6328502415458939</v>
      </c>
      <c r="H7">
        <v>30.799961</v>
      </c>
      <c r="I7">
        <v>6.5569410000000001</v>
      </c>
      <c r="J7">
        <v>19.421268000000001</v>
      </c>
      <c r="K7">
        <v>4.1345539999999996</v>
      </c>
      <c r="L7">
        <f>J7/K7</f>
        <v>4.6973066502457108</v>
      </c>
      <c r="M7">
        <f t="shared" si="2"/>
        <v>1.2579144942648675</v>
      </c>
      <c r="N7">
        <f t="shared" si="3"/>
        <v>0.13154589371980827</v>
      </c>
      <c r="O7">
        <f t="shared" si="0"/>
        <v>1.3912905736039738</v>
      </c>
      <c r="P7">
        <f t="shared" si="1"/>
        <v>91.2703448275862</v>
      </c>
    </row>
    <row r="8" spans="1:16" x14ac:dyDescent="0.25">
      <c r="A8">
        <v>60</v>
      </c>
      <c r="B8">
        <v>1.49</v>
      </c>
      <c r="C8">
        <f>A8*B8</f>
        <v>89.4</v>
      </c>
      <c r="D8">
        <v>20.03</v>
      </c>
      <c r="E8">
        <v>4.05</v>
      </c>
      <c r="F8">
        <f>D8*E8</f>
        <v>81.121499999999997</v>
      </c>
      <c r="G8">
        <f>D8/E8</f>
        <v>4.9456790123456793</v>
      </c>
      <c r="H8">
        <v>30.411460999999999</v>
      </c>
      <c r="I8">
        <v>6.1545030000000001</v>
      </c>
      <c r="J8">
        <v>20.231714</v>
      </c>
      <c r="K8">
        <v>4.0943820000000004</v>
      </c>
      <c r="L8">
        <f>J8/K8</f>
        <v>4.9413352247054618</v>
      </c>
      <c r="M8">
        <f t="shared" si="2"/>
        <v>1.0070594108836697</v>
      </c>
      <c r="N8">
        <f t="shared" si="3"/>
        <v>1.0958518518518665</v>
      </c>
      <c r="O8">
        <f t="shared" si="0"/>
        <v>8.7829954782230574E-2</v>
      </c>
      <c r="P8">
        <f t="shared" si="1"/>
        <v>90.739932885906029</v>
      </c>
    </row>
    <row r="9" spans="1:16" x14ac:dyDescent="0.25">
      <c r="A9">
        <v>60</v>
      </c>
      <c r="B9">
        <v>1.55</v>
      </c>
      <c r="C9">
        <f t="shared" ref="C9:C12" si="8">A9*B9</f>
        <v>93</v>
      </c>
      <c r="D9">
        <v>20.98</v>
      </c>
      <c r="E9">
        <v>4.05</v>
      </c>
      <c r="F9">
        <f t="shared" ref="F9:F12" si="9">D9*E9</f>
        <v>84.968999999999994</v>
      </c>
      <c r="G9">
        <f>D9/E9</f>
        <v>5.1802469135802474</v>
      </c>
      <c r="H9">
        <v>30.410651999999999</v>
      </c>
      <c r="I9">
        <v>5.7768420000000003</v>
      </c>
      <c r="J9">
        <v>21.174361999999999</v>
      </c>
      <c r="K9">
        <v>4.0223060000000004</v>
      </c>
      <c r="L9">
        <f t="shared" ref="L9:L12" si="10">J9/K9</f>
        <v>5.2642344963312082</v>
      </c>
      <c r="M9">
        <f t="shared" si="2"/>
        <v>0.92641563393707405</v>
      </c>
      <c r="N9">
        <f t="shared" si="3"/>
        <v>0.68380246913578879</v>
      </c>
      <c r="O9">
        <f t="shared" si="0"/>
        <v>1.6213046241248401</v>
      </c>
      <c r="P9">
        <f t="shared" si="1"/>
        <v>91.364516129032253</v>
      </c>
    </row>
    <row r="10" spans="1:16" x14ac:dyDescent="0.25">
      <c r="A10">
        <v>60</v>
      </c>
      <c r="B10">
        <v>1.55</v>
      </c>
      <c r="C10">
        <f t="shared" si="8"/>
        <v>93</v>
      </c>
      <c r="D10">
        <v>21.73</v>
      </c>
      <c r="E10">
        <v>3.92</v>
      </c>
      <c r="F10">
        <f t="shared" si="9"/>
        <v>85.181600000000003</v>
      </c>
      <c r="G10">
        <f t="shared" ref="G10:G12" si="11">D10/E10</f>
        <v>5.5433673469387754</v>
      </c>
      <c r="H10">
        <v>30.410862000000002</v>
      </c>
      <c r="I10">
        <v>5.4749930000000004</v>
      </c>
      <c r="J10">
        <v>21.89076</v>
      </c>
      <c r="K10">
        <v>3.941084</v>
      </c>
      <c r="L10">
        <f t="shared" si="10"/>
        <v>5.554502263844161</v>
      </c>
      <c r="M10">
        <f t="shared" si="2"/>
        <v>0.73980671882190419</v>
      </c>
      <c r="N10">
        <f t="shared" si="3"/>
        <v>0.53785714285714548</v>
      </c>
      <c r="O10">
        <f t="shared" si="0"/>
        <v>0.2008691866963255</v>
      </c>
      <c r="P10">
        <f t="shared" si="1"/>
        <v>91.593118279569893</v>
      </c>
    </row>
    <row r="11" spans="1:16" x14ac:dyDescent="0.25">
      <c r="A11">
        <v>60</v>
      </c>
      <c r="B11">
        <v>1.56</v>
      </c>
      <c r="C11">
        <f t="shared" si="8"/>
        <v>93.600000000000009</v>
      </c>
      <c r="D11">
        <v>22.35</v>
      </c>
      <c r="E11">
        <v>3.84</v>
      </c>
      <c r="F11">
        <f t="shared" si="9"/>
        <v>85.823999999999998</v>
      </c>
      <c r="G11">
        <f t="shared" si="11"/>
        <v>5.8203125000000009</v>
      </c>
      <c r="H11">
        <v>30.411788999999999</v>
      </c>
      <c r="I11">
        <v>5.1992580000000004</v>
      </c>
      <c r="J11">
        <v>22.502890000000001</v>
      </c>
      <c r="K11">
        <v>3.847137</v>
      </c>
      <c r="L11">
        <f t="shared" si="10"/>
        <v>5.8492562131268011</v>
      </c>
      <c r="M11">
        <f t="shared" si="2"/>
        <v>0.6840715883668872</v>
      </c>
      <c r="N11">
        <f t="shared" si="3"/>
        <v>0.18585937500000446</v>
      </c>
      <c r="O11">
        <f t="shared" si="0"/>
        <v>0.49728795707790974</v>
      </c>
      <c r="P11">
        <f t="shared" si="1"/>
        <v>91.692307692307679</v>
      </c>
    </row>
    <row r="12" spans="1:16" x14ac:dyDescent="0.25">
      <c r="A12">
        <v>60</v>
      </c>
      <c r="B12">
        <v>1.54</v>
      </c>
      <c r="C12">
        <f t="shared" si="8"/>
        <v>92.4</v>
      </c>
      <c r="D12">
        <v>22.98</v>
      </c>
      <c r="E12">
        <v>3.7</v>
      </c>
      <c r="F12">
        <f t="shared" si="9"/>
        <v>85.02600000000001</v>
      </c>
      <c r="G12">
        <f t="shared" si="11"/>
        <v>6.2108108108108109</v>
      </c>
      <c r="H12">
        <v>30.411107999999999</v>
      </c>
      <c r="I12">
        <v>4.8993520000000004</v>
      </c>
      <c r="J12">
        <v>23.111118000000001</v>
      </c>
      <c r="K12">
        <v>3.7232940000000001</v>
      </c>
      <c r="L12">
        <f t="shared" si="10"/>
        <v>6.2071697803074377</v>
      </c>
      <c r="M12">
        <f t="shared" si="2"/>
        <v>0.5705744125326403</v>
      </c>
      <c r="N12">
        <f t="shared" si="3"/>
        <v>0.6295675675675656</v>
      </c>
      <c r="O12">
        <f t="shared" si="0"/>
        <v>5.8624076860229392E-2</v>
      </c>
      <c r="P12">
        <f t="shared" si="1"/>
        <v>92.019480519480524</v>
      </c>
    </row>
    <row r="13" spans="1:16" x14ac:dyDescent="0.25">
      <c r="A13">
        <v>60</v>
      </c>
      <c r="B13">
        <v>1.52</v>
      </c>
      <c r="C13">
        <f>A13*B13</f>
        <v>91.2</v>
      </c>
      <c r="D13">
        <v>23.55</v>
      </c>
      <c r="E13">
        <v>3.55</v>
      </c>
      <c r="F13">
        <f>D13*E13</f>
        <v>83.602499999999992</v>
      </c>
      <c r="G13">
        <f>D13/E13</f>
        <v>6.6338028169014089</v>
      </c>
      <c r="H13">
        <v>30.409915999999999</v>
      </c>
      <c r="I13">
        <v>4.5909089999999999</v>
      </c>
      <c r="J13">
        <v>23.679566999999999</v>
      </c>
      <c r="K13">
        <v>3.5748449999999998</v>
      </c>
      <c r="L13">
        <f>J13/K13</f>
        <v>6.6239422967988819</v>
      </c>
      <c r="M13">
        <f t="shared" si="2"/>
        <v>0.55017834394903609</v>
      </c>
      <c r="N13">
        <f t="shared" si="3"/>
        <v>0.69985915492957762</v>
      </c>
      <c r="O13">
        <f t="shared" si="0"/>
        <v>0.14864053657737128</v>
      </c>
      <c r="P13">
        <f t="shared" si="1"/>
        <v>91.669407894736835</v>
      </c>
    </row>
    <row r="14" spans="1:16" x14ac:dyDescent="0.25">
      <c r="A14">
        <v>60</v>
      </c>
      <c r="B14">
        <v>1.45</v>
      </c>
      <c r="C14">
        <f>A14*B14</f>
        <v>87</v>
      </c>
      <c r="D14">
        <v>24.35</v>
      </c>
      <c r="E14" s="3">
        <v>3.27</v>
      </c>
      <c r="F14">
        <f>D14*E14</f>
        <v>79.624500000000012</v>
      </c>
      <c r="G14">
        <f>D14/E14</f>
        <v>7.4464831804281353</v>
      </c>
      <c r="H14">
        <v>30.410357999999999</v>
      </c>
      <c r="I14">
        <v>4.1174379999999999</v>
      </c>
      <c r="J14">
        <v>24.440062999999999</v>
      </c>
      <c r="K14">
        <v>3.3090850000000001</v>
      </c>
      <c r="L14">
        <f>J14/K14</f>
        <v>7.3857465130088826</v>
      </c>
      <c r="M14">
        <f t="shared" si="2"/>
        <v>0.36986858316220578</v>
      </c>
      <c r="N14">
        <f t="shared" si="3"/>
        <v>1.1952599388379215</v>
      </c>
      <c r="O14">
        <f t="shared" si="0"/>
        <v>0.81564230990125741</v>
      </c>
      <c r="P14">
        <f t="shared" si="1"/>
        <v>91.522413793103468</v>
      </c>
    </row>
    <row r="15" spans="1:16" x14ac:dyDescent="0.25">
      <c r="A15">
        <v>60</v>
      </c>
      <c r="B15">
        <v>1.39</v>
      </c>
      <c r="C15">
        <f t="shared" ref="C15:C16" si="12">A15*B15</f>
        <v>83.399999999999991</v>
      </c>
      <c r="D15">
        <v>24.9</v>
      </c>
      <c r="E15">
        <v>3.06</v>
      </c>
      <c r="F15">
        <f t="shared" ref="F15:F16" si="13">D15*E15</f>
        <v>76.194000000000003</v>
      </c>
      <c r="G15">
        <f t="shared" ref="G15:G16" si="14">D15/E15</f>
        <v>8.1372549019607838</v>
      </c>
      <c r="H15">
        <v>30.410532</v>
      </c>
      <c r="I15">
        <v>3.747369</v>
      </c>
      <c r="J15">
        <v>24.939965999999998</v>
      </c>
      <c r="K15">
        <v>3.0732529999999998</v>
      </c>
      <c r="L15">
        <f t="shared" ref="L15:L16" si="15">J15/K15</f>
        <v>8.1151685201316006</v>
      </c>
      <c r="M15">
        <f t="shared" si="2"/>
        <v>0.16050602409638445</v>
      </c>
      <c r="N15">
        <f t="shared" si="3"/>
        <v>0.43310457516339013</v>
      </c>
      <c r="O15">
        <f t="shared" si="0"/>
        <v>0.27142300561164912</v>
      </c>
      <c r="P15">
        <f t="shared" si="1"/>
        <v>91.359712230215834</v>
      </c>
    </row>
    <row r="16" spans="1:16" x14ac:dyDescent="0.25">
      <c r="A16">
        <v>60</v>
      </c>
      <c r="B16">
        <v>1.31</v>
      </c>
      <c r="C16">
        <f t="shared" si="12"/>
        <v>78.600000000000009</v>
      </c>
      <c r="D16">
        <v>25.25</v>
      </c>
      <c r="E16">
        <v>2.84</v>
      </c>
      <c r="F16">
        <f t="shared" si="13"/>
        <v>71.709999999999994</v>
      </c>
      <c r="G16">
        <f t="shared" si="14"/>
        <v>8.8908450704225359</v>
      </c>
      <c r="H16">
        <v>30.412103999999999</v>
      </c>
      <c r="I16">
        <v>3.4818790000000002</v>
      </c>
      <c r="J16">
        <v>25.292833000000002</v>
      </c>
      <c r="K16">
        <v>2.8957739999999998</v>
      </c>
      <c r="L16">
        <f t="shared" si="15"/>
        <v>8.7343946730649566</v>
      </c>
      <c r="M16">
        <f t="shared" si="2"/>
        <v>0.16963564356436309</v>
      </c>
      <c r="N16">
        <f t="shared" si="3"/>
        <v>1.9638732394366194</v>
      </c>
      <c r="O16">
        <f t="shared" si="0"/>
        <v>1.7596797168139606</v>
      </c>
      <c r="P16">
        <f t="shared" si="1"/>
        <v>91.234096692111947</v>
      </c>
    </row>
    <row r="17" spans="1:16" x14ac:dyDescent="0.25">
      <c r="A17">
        <v>60</v>
      </c>
      <c r="B17">
        <v>1.18</v>
      </c>
      <c r="C17">
        <f>A17*B17</f>
        <v>70.8</v>
      </c>
      <c r="D17">
        <v>25.81</v>
      </c>
      <c r="E17">
        <v>2.48</v>
      </c>
      <c r="F17">
        <f>D17*E17</f>
        <v>64.008799999999994</v>
      </c>
      <c r="G17">
        <f>D17/E17</f>
        <v>10.407258064516128</v>
      </c>
      <c r="H17">
        <v>30.413875999999998</v>
      </c>
      <c r="I17">
        <v>3.0046179999999998</v>
      </c>
      <c r="J17">
        <v>25.808133999999999</v>
      </c>
      <c r="K17">
        <v>2.5496120000000002</v>
      </c>
      <c r="L17">
        <f>J17/K17</f>
        <v>10.122377051880834</v>
      </c>
      <c r="M17">
        <f t="shared" si="2"/>
        <v>7.2297559085614154E-3</v>
      </c>
      <c r="N17">
        <f t="shared" si="3"/>
        <v>2.8069354838709768</v>
      </c>
      <c r="O17">
        <f t="shared" si="0"/>
        <v>2.7373301485297534</v>
      </c>
      <c r="P17">
        <f t="shared" si="1"/>
        <v>90.407909604519759</v>
      </c>
    </row>
    <row r="18" spans="1:16" x14ac:dyDescent="0.25">
      <c r="A18">
        <v>60</v>
      </c>
      <c r="B18">
        <v>1.07</v>
      </c>
      <c r="C18">
        <f>A18*B18</f>
        <v>64.2</v>
      </c>
      <c r="D18">
        <v>26.27</v>
      </c>
      <c r="E18">
        <v>2.2000000000000002</v>
      </c>
      <c r="F18">
        <f>D18*E18</f>
        <v>57.794000000000004</v>
      </c>
      <c r="G18">
        <f>D18/E18</f>
        <v>11.94090909090909</v>
      </c>
      <c r="H18">
        <v>30.411911</v>
      </c>
      <c r="I18">
        <v>2.620044</v>
      </c>
      <c r="J18">
        <v>26.232281</v>
      </c>
      <c r="K18">
        <v>2.2599610000000001</v>
      </c>
      <c r="L18">
        <f>J18/K18</f>
        <v>11.60740428706513</v>
      </c>
      <c r="M18">
        <f t="shared" si="2"/>
        <v>0.14358203273695916</v>
      </c>
      <c r="N18">
        <f t="shared" si="3"/>
        <v>2.7254999999999967</v>
      </c>
      <c r="O18">
        <f t="shared" si="0"/>
        <v>2.7929599103795653</v>
      </c>
      <c r="P18">
        <f t="shared" si="1"/>
        <v>90.021806853582547</v>
      </c>
    </row>
    <row r="19" spans="1:16" x14ac:dyDescent="0.25">
      <c r="A19">
        <v>60</v>
      </c>
      <c r="B19">
        <v>0.81</v>
      </c>
      <c r="C19">
        <f>A19*B19</f>
        <v>48.6</v>
      </c>
      <c r="D19">
        <v>26.79</v>
      </c>
      <c r="E19">
        <v>1.61</v>
      </c>
      <c r="F19">
        <f>D19*E19</f>
        <v>43.131900000000002</v>
      </c>
      <c r="G19">
        <f>D19/E19</f>
        <v>16.63975155279503</v>
      </c>
      <c r="H19">
        <v>30.799515</v>
      </c>
      <c r="I19">
        <v>1.9535499999999999</v>
      </c>
      <c r="J19">
        <v>26.693003000000001</v>
      </c>
      <c r="K19">
        <v>1.693082</v>
      </c>
      <c r="L19">
        <f>J19/K19</f>
        <v>15.765924509267714</v>
      </c>
      <c r="M19">
        <f t="shared" si="2"/>
        <v>0.36206420306083698</v>
      </c>
      <c r="N19">
        <f t="shared" si="3"/>
        <v>5.1603726708074458</v>
      </c>
      <c r="O19">
        <f t="shared" si="0"/>
        <v>5.251442852105181</v>
      </c>
      <c r="P19">
        <f t="shared" si="1"/>
        <v>88.748765432098764</v>
      </c>
    </row>
    <row r="20" spans="1:16" x14ac:dyDescent="0.25">
      <c r="A20">
        <v>60</v>
      </c>
      <c r="B20">
        <v>0.55000000000000004</v>
      </c>
      <c r="C20">
        <f t="shared" ref="C20:C24" si="16">A20*B20</f>
        <v>33</v>
      </c>
      <c r="D20">
        <v>27.25</v>
      </c>
      <c r="E20">
        <v>1.02</v>
      </c>
      <c r="F20">
        <f t="shared" ref="F20:F24" si="17">D20*E20</f>
        <v>27.795000000000002</v>
      </c>
      <c r="G20">
        <f t="shared" ref="G20:G24" si="18">D20/E20</f>
        <v>26.715686274509803</v>
      </c>
      <c r="H20">
        <v>30.428387000000001</v>
      </c>
      <c r="I20">
        <v>1.320891</v>
      </c>
      <c r="J20">
        <v>27.100121999999999</v>
      </c>
      <c r="K20">
        <v>1.176412</v>
      </c>
      <c r="L20">
        <f t="shared" ref="L20:L24" si="19">J20/K20</f>
        <v>23.036250905295084</v>
      </c>
      <c r="M20">
        <f t="shared" ref="M20:M24" si="20">ABS(J20-D20)/D20*100</f>
        <v>0.55001100917431578</v>
      </c>
      <c r="N20">
        <f t="shared" ref="N20:N24" si="21">ABS(K20-E20)/E20*100</f>
        <v>15.334509803921566</v>
      </c>
      <c r="O20">
        <f t="shared" ref="O20:O24" si="22">(ABS(L20-G20)/G20)*100</f>
        <v>13.772565418711977</v>
      </c>
      <c r="P20">
        <f t="shared" ref="P20:P24" si="23">(F20/C20)*100</f>
        <v>84.227272727272734</v>
      </c>
    </row>
    <row r="21" spans="1:16" x14ac:dyDescent="0.25">
      <c r="A21">
        <v>60</v>
      </c>
      <c r="B21">
        <v>0.35</v>
      </c>
      <c r="C21">
        <f t="shared" ref="C21:C22" si="24">A21*B21</f>
        <v>21</v>
      </c>
      <c r="D21">
        <v>27.62</v>
      </c>
      <c r="E21">
        <v>0.56999999999999995</v>
      </c>
      <c r="F21">
        <f t="shared" ref="F21:F22" si="25">D21*E21</f>
        <v>15.743399999999999</v>
      </c>
      <c r="G21">
        <f t="shared" ref="G21:G22" si="26">D21/E21</f>
        <v>48.456140350877199</v>
      </c>
      <c r="H21">
        <v>30.434180999999999</v>
      </c>
      <c r="I21">
        <v>0.84493600000000002</v>
      </c>
      <c r="J21">
        <v>27.427097</v>
      </c>
      <c r="K21">
        <v>0.76145099999999999</v>
      </c>
      <c r="L21">
        <f t="shared" ref="L21:L22" si="27">J21/K21</f>
        <v>36.019516685906254</v>
      </c>
      <c r="M21">
        <f t="shared" ref="M21:M22" si="28">ABS(J21-D21)/D21*100</f>
        <v>0.69841781317886009</v>
      </c>
      <c r="N21">
        <f t="shared" ref="N21:N22" si="29">ABS(K21-E21)/E21*100</f>
        <v>33.587894736842117</v>
      </c>
      <c r="O21">
        <f t="shared" ref="O21:O22" si="30">(ABS(L21-G21)/G21)*100</f>
        <v>25.665733124668495</v>
      </c>
      <c r="P21">
        <f t="shared" ref="P21:P22" si="31">(F21/C21)*100</f>
        <v>74.968571428571423</v>
      </c>
    </row>
    <row r="22" spans="1:16" x14ac:dyDescent="0.25">
      <c r="A22">
        <v>60</v>
      </c>
      <c r="B22">
        <v>0.14000000000000001</v>
      </c>
      <c r="C22">
        <f t="shared" si="24"/>
        <v>8.4</v>
      </c>
      <c r="D22">
        <v>28.05</v>
      </c>
      <c r="E22">
        <v>0.06</v>
      </c>
      <c r="F22">
        <f t="shared" si="25"/>
        <v>1.6830000000000001</v>
      </c>
      <c r="G22">
        <f t="shared" si="26"/>
        <v>467.50000000000006</v>
      </c>
      <c r="H22">
        <v>30.799423000000001</v>
      </c>
      <c r="I22">
        <v>0.298323</v>
      </c>
      <c r="J22">
        <v>27.814807999999999</v>
      </c>
      <c r="K22">
        <v>0.26941399999999999</v>
      </c>
      <c r="L22">
        <f t="shared" si="27"/>
        <v>103.2418805258821</v>
      </c>
      <c r="M22">
        <f t="shared" si="28"/>
        <v>0.83847415329768771</v>
      </c>
      <c r="N22">
        <f t="shared" si="29"/>
        <v>349.02333333333331</v>
      </c>
      <c r="O22">
        <f t="shared" si="30"/>
        <v>77.916175288581371</v>
      </c>
      <c r="P22">
        <f t="shared" si="31"/>
        <v>20.035714285714285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2026-03-09T20:27:47Z</dcterms:modified>
</cp:coreProperties>
</file>