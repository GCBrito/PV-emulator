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el\Desktop\Stage_GeePs\Test Data - new\Kyocera KC200GT\Single-diode model\G = 511 W.m^-2 and T = 54.3 ºC\"/>
    </mc:Choice>
  </mc:AlternateContent>
  <xr:revisionPtr revIDLastSave="0" documentId="13_ncr:1_{79446136-C46E-4DF1-8ED4-41E31285B9AC}" xr6:coauthVersionLast="47" xr6:coauthVersionMax="47" xr10:uidLastSave="{00000000-0000-0000-0000-000000000000}"/>
  <bookViews>
    <workbookView xWindow="20370" yWindow="-120" windowWidth="29040" windowHeight="15720" xr2:uid="{217CCB4B-160F-4504-987F-9C10DFEEC66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" i="1"/>
  <c r="G17" i="1"/>
  <c r="L4" i="1"/>
  <c r="O4" i="1" s="1"/>
  <c r="G4" i="1"/>
  <c r="F4" i="1"/>
  <c r="P4" i="1" s="1"/>
  <c r="C4" i="1"/>
  <c r="C13" i="1"/>
  <c r="F13" i="1"/>
  <c r="G13" i="1"/>
  <c r="L13" i="1"/>
  <c r="C14" i="1"/>
  <c r="F14" i="1"/>
  <c r="G14" i="1"/>
  <c r="L14" i="1"/>
  <c r="C15" i="1"/>
  <c r="F15" i="1"/>
  <c r="G15" i="1"/>
  <c r="L15" i="1"/>
  <c r="C16" i="1"/>
  <c r="F16" i="1"/>
  <c r="G16" i="1"/>
  <c r="L16" i="1"/>
  <c r="C17" i="1"/>
  <c r="F17" i="1"/>
  <c r="L17" i="1"/>
  <c r="C18" i="1"/>
  <c r="F18" i="1"/>
  <c r="G18" i="1"/>
  <c r="L18" i="1"/>
  <c r="C19" i="1"/>
  <c r="F19" i="1"/>
  <c r="G19" i="1"/>
  <c r="L19" i="1"/>
  <c r="O19" i="1" l="1"/>
  <c r="P19" i="1"/>
  <c r="O18" i="1"/>
  <c r="P18" i="1"/>
  <c r="O17" i="1"/>
  <c r="P17" i="1"/>
  <c r="O16" i="1"/>
  <c r="P16" i="1"/>
  <c r="O15" i="1"/>
  <c r="P15" i="1"/>
  <c r="O14" i="1"/>
  <c r="P14" i="1"/>
  <c r="O13" i="1"/>
  <c r="P13" i="1"/>
  <c r="L12" i="1"/>
  <c r="G12" i="1"/>
  <c r="F12" i="1"/>
  <c r="C12" i="1"/>
  <c r="G2" i="1"/>
  <c r="C3" i="1"/>
  <c r="L5" i="1"/>
  <c r="G5" i="1"/>
  <c r="F5" i="1"/>
  <c r="C5" i="1"/>
  <c r="C2" i="1"/>
  <c r="F2" i="1"/>
  <c r="L2" i="1"/>
  <c r="L3" i="1"/>
  <c r="G9" i="1"/>
  <c r="L7" i="1"/>
  <c r="G7" i="1"/>
  <c r="F7" i="1"/>
  <c r="C7" i="1"/>
  <c r="L8" i="1"/>
  <c r="G8" i="1"/>
  <c r="F8" i="1"/>
  <c r="C8" i="1"/>
  <c r="L6" i="1"/>
  <c r="F6" i="1"/>
  <c r="G6" i="1"/>
  <c r="C6" i="1"/>
  <c r="L9" i="1"/>
  <c r="L10" i="1"/>
  <c r="L11" i="1"/>
  <c r="G10" i="1"/>
  <c r="G11" i="1"/>
  <c r="F9" i="1"/>
  <c r="F10" i="1"/>
  <c r="F11" i="1"/>
  <c r="C9" i="1"/>
  <c r="C10" i="1"/>
  <c r="C11" i="1"/>
  <c r="G3" i="1"/>
  <c r="F3" i="1"/>
  <c r="O12" i="1" l="1"/>
  <c r="P12" i="1"/>
  <c r="P5" i="1"/>
  <c r="O5" i="1"/>
  <c r="P6" i="1"/>
  <c r="P3" i="1"/>
  <c r="O2" i="1"/>
  <c r="P2" i="1"/>
  <c r="O7" i="1"/>
  <c r="P7" i="1"/>
  <c r="O8" i="1"/>
  <c r="P8" i="1"/>
  <c r="P10" i="1"/>
  <c r="O6" i="1"/>
  <c r="O11" i="1"/>
  <c r="O10" i="1"/>
  <c r="P11" i="1"/>
  <c r="P9" i="1"/>
  <c r="O9" i="1"/>
  <c r="O3" i="1"/>
</calcChain>
</file>

<file path=xl/sharedStrings.xml><?xml version="1.0" encoding="utf-8"?>
<sst xmlns="http://schemas.openxmlformats.org/spreadsheetml/2006/main" count="16" uniqueCount="16">
  <si>
    <t>Vs_test</t>
  </si>
  <si>
    <t>Is_test</t>
  </si>
  <si>
    <t>Vs*</t>
  </si>
  <si>
    <t>Is*</t>
  </si>
  <si>
    <t>Vs (Volt)</t>
  </si>
  <si>
    <t>Is (Amp)</t>
  </si>
  <si>
    <t>Ve (alim)</t>
  </si>
  <si>
    <t>Ie (alim)</t>
  </si>
  <si>
    <t>Ps</t>
  </si>
  <si>
    <t>R*</t>
  </si>
  <si>
    <t xml:space="preserve">R </t>
  </si>
  <si>
    <t xml:space="preserve">Pe </t>
  </si>
  <si>
    <t>Rend. (%)</t>
  </si>
  <si>
    <t>R Error (%)</t>
  </si>
  <si>
    <t>V Error (%)</t>
  </si>
  <si>
    <t>I Error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</si>
</sst>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/>
  </cellXfs>
  <cellStyles count="2">
    <cellStyle name="Ênfase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D570-ED79-418B-A1D1-0F000D275672}">
  <dimension ref="A1:P19"/>
  <sheetViews>
    <sheetView tabSelected="1" zoomScale="160" zoomScaleNormal="160" workbookViewId="0">
      <selection activeCell="H2" sqref="H2:L2"/>
    </sheetView>
  </sheetViews>
  <sheetFormatPr defaultColWidth="9.140625" defaultRowHeight="15" x14ac:dyDescent="0.25"/>
  <sheetData>
    <row r="1" spans="1:16" s="2" customFormat="1" x14ac:dyDescent="0.25">
      <c r="A1" s="1" t="s">
        <v>6</v>
      </c>
      <c r="B1" s="1" t="s">
        <v>7</v>
      </c>
      <c r="C1" s="1" t="s">
        <v>11</v>
      </c>
      <c r="D1" s="1" t="s">
        <v>4</v>
      </c>
      <c r="E1" s="1" t="s">
        <v>5</v>
      </c>
      <c r="F1" s="1" t="s">
        <v>8</v>
      </c>
      <c r="G1" s="1" t="s">
        <v>10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9</v>
      </c>
      <c r="M1" s="1" t="s">
        <v>14</v>
      </c>
      <c r="N1" s="1" t="s">
        <v>15</v>
      </c>
      <c r="O1" s="1" t="s">
        <v>13</v>
      </c>
      <c r="P1" s="1" t="s">
        <v>12</v>
      </c>
    </row>
    <row r="2" spans="1:16" x14ac:dyDescent="0.25">
      <c r="A2">
        <v>60</v>
      </c>
      <c r="B2">
        <v>0.78</v>
      </c>
      <c r="C2">
        <f>A2*B2</f>
        <v>46.800000000000004</v>
      </c>
      <c r="D2">
        <v>9.4499999999999993</v>
      </c>
      <c r="E2">
        <v>4.01</v>
      </c>
      <c r="F2">
        <f>D2*E2</f>
        <v>37.894499999999994</v>
      </c>
      <c r="G2">
        <f>D2/E2</f>
        <v>2.3566084788029924</v>
      </c>
      <c r="H2">
        <v>30.409756000000002</v>
      </c>
      <c r="I2">
        <v>12.985798000000001</v>
      </c>
      <c r="J2">
        <v>9.8681750000000008</v>
      </c>
      <c r="K2">
        <v>4.2139810000000004</v>
      </c>
      <c r="L2">
        <f>J2/K2</f>
        <v>2.3417701693481767</v>
      </c>
      <c r="M2">
        <f>ABS(J2-D2)/D2*100</f>
        <v>4.4251322751322917</v>
      </c>
      <c r="N2">
        <f>ABS(K2-E2)/E2*100</f>
        <v>5.0868079800498913</v>
      </c>
      <c r="O2">
        <f>(ABS(L2-G2)/G2)*100</f>
        <v>0.62964678215672887</v>
      </c>
      <c r="P2">
        <f>(F2/C2)*100</f>
        <v>80.971153846153825</v>
      </c>
    </row>
    <row r="3" spans="1:16" x14ac:dyDescent="0.25">
      <c r="A3">
        <v>60</v>
      </c>
      <c r="B3">
        <v>1</v>
      </c>
      <c r="C3">
        <f>A3*B3</f>
        <v>60</v>
      </c>
      <c r="D3">
        <v>13.23</v>
      </c>
      <c r="E3" s="3">
        <v>3.9</v>
      </c>
      <c r="F3">
        <f>D3*E3</f>
        <v>51.597000000000001</v>
      </c>
      <c r="G3">
        <f>D3/E3</f>
        <v>3.3923076923076927</v>
      </c>
      <c r="H3">
        <v>30.408054</v>
      </c>
      <c r="I3">
        <v>9.3825470000000006</v>
      </c>
      <c r="J3">
        <v>13.614193</v>
      </c>
      <c r="K3">
        <v>4.200723</v>
      </c>
      <c r="L3">
        <f>J3/K3</f>
        <v>3.240916623162251</v>
      </c>
      <c r="M3">
        <f t="shared" ref="M3:M19" si="0">ABS(J3-D3)/D3*100</f>
        <v>2.9039531368102778</v>
      </c>
      <c r="N3">
        <f t="shared" ref="N3:N19" si="1">ABS(K3-E3)/E3*100</f>
        <v>7.7108461538461555</v>
      </c>
      <c r="O3">
        <f>(ABS(L3-G3)/G3)*100</f>
        <v>4.4627752809313854</v>
      </c>
      <c r="P3">
        <f>(F3/C3)*100</f>
        <v>85.995000000000005</v>
      </c>
    </row>
    <row r="4" spans="1:16" x14ac:dyDescent="0.25">
      <c r="A4">
        <v>60</v>
      </c>
      <c r="B4">
        <v>1.27</v>
      </c>
      <c r="C4">
        <f>A4*B4</f>
        <v>76.2</v>
      </c>
      <c r="D4">
        <v>16.079999999999998</v>
      </c>
      <c r="E4" s="3">
        <v>4.2</v>
      </c>
      <c r="F4">
        <f>D4*E4</f>
        <v>67.536000000000001</v>
      </c>
      <c r="G4">
        <f>D4/E4</f>
        <v>3.8285714285714278</v>
      </c>
      <c r="H4">
        <v>30.799910000000001</v>
      </c>
      <c r="I4">
        <v>7.8468109999999998</v>
      </c>
      <c r="J4">
        <v>16.422968000000001</v>
      </c>
      <c r="K4">
        <v>4.1840359999999999</v>
      </c>
      <c r="L4">
        <f>J4/K4</f>
        <v>3.9251497836060687</v>
      </c>
      <c r="M4">
        <f t="shared" si="0"/>
        <v>2.1328855721393198</v>
      </c>
      <c r="N4">
        <f t="shared" si="1"/>
        <v>0.38009523809524548</v>
      </c>
      <c r="O4">
        <f>(ABS(L4-G4)/G4)*100</f>
        <v>2.5225689747853957</v>
      </c>
      <c r="P4">
        <f>(F4/C4)*100</f>
        <v>88.629921259842519</v>
      </c>
    </row>
    <row r="5" spans="1:16" x14ac:dyDescent="0.25">
      <c r="A5">
        <v>60</v>
      </c>
      <c r="B5">
        <v>1.36</v>
      </c>
      <c r="C5">
        <f t="shared" ref="C4:C5" si="2">A5*B5</f>
        <v>81.600000000000009</v>
      </c>
      <c r="D5">
        <v>17.55</v>
      </c>
      <c r="E5">
        <v>4.1500000000000004</v>
      </c>
      <c r="F5">
        <f t="shared" ref="F4:F5" si="3">D5*E5</f>
        <v>72.83250000000001</v>
      </c>
      <c r="G5">
        <f t="shared" ref="G4:G5" si="4">D5/E5</f>
        <v>4.2289156626506026</v>
      </c>
      <c r="H5">
        <v>30.412991000000002</v>
      </c>
      <c r="I5">
        <v>7.0811440000000001</v>
      </c>
      <c r="J5">
        <v>17.876021999999999</v>
      </c>
      <c r="K5">
        <v>4.1621259999999998</v>
      </c>
      <c r="L5">
        <f t="shared" ref="L4:L5" si="5">J5/K5</f>
        <v>4.2949257182507212</v>
      </c>
      <c r="M5">
        <f t="shared" si="0"/>
        <v>1.8576752136752035</v>
      </c>
      <c r="N5">
        <f t="shared" si="1"/>
        <v>0.29219277108432323</v>
      </c>
      <c r="O5">
        <f>(ABS(L5-G5)/G5)*100</f>
        <v>1.560921542680868</v>
      </c>
      <c r="P5">
        <f>(F5/C5)*100</f>
        <v>89.255514705882348</v>
      </c>
    </row>
    <row r="6" spans="1:16" x14ac:dyDescent="0.25">
      <c r="A6">
        <v>60</v>
      </c>
      <c r="B6">
        <v>1.45</v>
      </c>
      <c r="C6">
        <f>A6*B6</f>
        <v>87</v>
      </c>
      <c r="D6">
        <v>19.13</v>
      </c>
      <c r="E6">
        <v>4.1100000000000003</v>
      </c>
      <c r="F6">
        <f>D6*E6</f>
        <v>78.624300000000005</v>
      </c>
      <c r="G6">
        <f>D6/E6</f>
        <v>4.6545012165450119</v>
      </c>
      <c r="H6">
        <v>30.409344000000001</v>
      </c>
      <c r="I6">
        <v>6.4616020000000001</v>
      </c>
      <c r="J6">
        <v>19.423361</v>
      </c>
      <c r="K6">
        <v>4.1272190000000002</v>
      </c>
      <c r="L6">
        <f>J6/K6</f>
        <v>4.7061619458526431</v>
      </c>
      <c r="M6">
        <f t="shared" si="0"/>
        <v>1.5335128071092572</v>
      </c>
      <c r="N6">
        <f t="shared" si="1"/>
        <v>0.41895377128953459</v>
      </c>
      <c r="O6">
        <f>(ABS(L6-G6)/G6)*100</f>
        <v>1.1099090300803152</v>
      </c>
      <c r="P6">
        <f>(F6/C6)*100</f>
        <v>90.372758620689666</v>
      </c>
    </row>
    <row r="7" spans="1:16" x14ac:dyDescent="0.25">
      <c r="A7">
        <v>60</v>
      </c>
      <c r="B7">
        <v>1.49</v>
      </c>
      <c r="C7">
        <f>A7*B7</f>
        <v>89.4</v>
      </c>
      <c r="D7">
        <v>19.899999999999999</v>
      </c>
      <c r="E7">
        <v>4.0599999999999996</v>
      </c>
      <c r="F7">
        <f>D7*E7</f>
        <v>80.793999999999983</v>
      </c>
      <c r="G7">
        <f>D7/E7</f>
        <v>4.9014778325123158</v>
      </c>
      <c r="H7">
        <v>30.411235999999999</v>
      </c>
      <c r="I7">
        <v>6.1737760000000002</v>
      </c>
      <c r="J7">
        <v>20.185144000000001</v>
      </c>
      <c r="K7">
        <v>4.0977800000000002</v>
      </c>
      <c r="L7">
        <f>J7/K7</f>
        <v>4.9258730336914134</v>
      </c>
      <c r="M7">
        <f t="shared" si="0"/>
        <v>1.4328844221105654</v>
      </c>
      <c r="N7">
        <f t="shared" si="1"/>
        <v>0.93054187192119686</v>
      </c>
      <c r="O7">
        <f>(ABS(L7-G7)/G7)*100</f>
        <v>0.49771113963384944</v>
      </c>
      <c r="P7">
        <f>(F7/C7)*100</f>
        <v>90.373601789709141</v>
      </c>
    </row>
    <row r="8" spans="1:16" x14ac:dyDescent="0.25">
      <c r="A8">
        <v>60</v>
      </c>
      <c r="B8">
        <v>1.54</v>
      </c>
      <c r="C8">
        <f>A8*B8</f>
        <v>92.4</v>
      </c>
      <c r="D8">
        <v>20.91</v>
      </c>
      <c r="E8">
        <v>4.0199999999999996</v>
      </c>
      <c r="F8">
        <f>D8*E8</f>
        <v>84.058199999999985</v>
      </c>
      <c r="G8">
        <f>D8/E8</f>
        <v>5.2014925373134338</v>
      </c>
      <c r="H8">
        <v>30.411804</v>
      </c>
      <c r="I8">
        <v>5.8009050000000002</v>
      </c>
      <c r="J8">
        <v>21.167235999999999</v>
      </c>
      <c r="K8">
        <v>4.0375490000000003</v>
      </c>
      <c r="L8">
        <f>J8/K8</f>
        <v>5.24259544590047</v>
      </c>
      <c r="M8">
        <f t="shared" si="0"/>
        <v>1.2302056432328976</v>
      </c>
      <c r="N8">
        <f t="shared" si="1"/>
        <v>0.43654228855723148</v>
      </c>
      <c r="O8">
        <f>(ABS(L8-G8)/G8)*100</f>
        <v>0.7902137375412992</v>
      </c>
      <c r="P8">
        <f>(F8/C8)*100</f>
        <v>90.972077922077901</v>
      </c>
    </row>
    <row r="9" spans="1:16" x14ac:dyDescent="0.25">
      <c r="A9">
        <v>60</v>
      </c>
      <c r="B9">
        <v>1.57</v>
      </c>
      <c r="C9">
        <f t="shared" ref="C9:C12" si="6">A9*B9</f>
        <v>94.2</v>
      </c>
      <c r="D9">
        <v>21.94</v>
      </c>
      <c r="E9">
        <v>3.94</v>
      </c>
      <c r="F9">
        <f t="shared" ref="F9:F12" si="7">D9*E9</f>
        <v>86.443600000000004</v>
      </c>
      <c r="G9">
        <f>D9/E9</f>
        <v>5.5685279187817267</v>
      </c>
      <c r="H9">
        <v>30.411944999999999</v>
      </c>
      <c r="I9">
        <v>5.3981890000000003</v>
      </c>
      <c r="J9">
        <v>22.170598999999999</v>
      </c>
      <c r="K9">
        <v>3.9353310000000001</v>
      </c>
      <c r="L9">
        <f t="shared" ref="L9:L12" si="8">J9/K9</f>
        <v>5.6337316988075461</v>
      </c>
      <c r="M9">
        <f t="shared" si="0"/>
        <v>1.0510437556973471</v>
      </c>
      <c r="N9">
        <f t="shared" si="1"/>
        <v>0.11850253807106123</v>
      </c>
      <c r="O9">
        <f>(ABS(L9-G9)/G9)*100</f>
        <v>1.1709338801354985</v>
      </c>
      <c r="P9">
        <f>(F9/C9)*100</f>
        <v>91.766029723991508</v>
      </c>
    </row>
    <row r="10" spans="1:16" x14ac:dyDescent="0.25">
      <c r="A10">
        <v>60</v>
      </c>
      <c r="B10">
        <v>1.55</v>
      </c>
      <c r="C10">
        <f t="shared" si="6"/>
        <v>93</v>
      </c>
      <c r="D10">
        <v>22.82</v>
      </c>
      <c r="E10">
        <v>3.71</v>
      </c>
      <c r="F10">
        <f t="shared" si="7"/>
        <v>84.662199999999999</v>
      </c>
      <c r="G10">
        <f t="shared" ref="G10:G12" si="9">D10/E10</f>
        <v>6.1509433962264151</v>
      </c>
      <c r="H10">
        <v>30.411777000000001</v>
      </c>
      <c r="I10">
        <v>5.0282859999999996</v>
      </c>
      <c r="J10">
        <v>23.001207000000001</v>
      </c>
      <c r="K10">
        <v>3.8030219999999999</v>
      </c>
      <c r="L10">
        <f t="shared" si="8"/>
        <v>6.0481393481289354</v>
      </c>
      <c r="M10">
        <f t="shared" si="0"/>
        <v>0.79407099035933637</v>
      </c>
      <c r="N10">
        <f t="shared" si="1"/>
        <v>2.5073315363881385</v>
      </c>
      <c r="O10">
        <f>(ABS(L10-G10)/G10)*100</f>
        <v>1.6713541561860192</v>
      </c>
      <c r="P10">
        <f>(F10/C10)*100</f>
        <v>91.034623655913975</v>
      </c>
    </row>
    <row r="11" spans="1:16" x14ac:dyDescent="0.25">
      <c r="A11">
        <v>60</v>
      </c>
      <c r="B11">
        <v>1.55</v>
      </c>
      <c r="C11">
        <f t="shared" si="6"/>
        <v>93</v>
      </c>
      <c r="D11">
        <v>23.59</v>
      </c>
      <c r="E11">
        <v>3.61</v>
      </c>
      <c r="F11">
        <f t="shared" si="7"/>
        <v>85.159899999999993</v>
      </c>
      <c r="G11">
        <f t="shared" si="9"/>
        <v>6.5346260387811634</v>
      </c>
      <c r="H11">
        <v>30.413933</v>
      </c>
      <c r="I11">
        <v>4.6391739999999997</v>
      </c>
      <c r="J11">
        <v>23.763169999999999</v>
      </c>
      <c r="K11">
        <v>3.6247039999999999</v>
      </c>
      <c r="L11">
        <f t="shared" si="8"/>
        <v>6.5558925639169434</v>
      </c>
      <c r="M11">
        <f t="shared" si="0"/>
        <v>0.7340822382365364</v>
      </c>
      <c r="N11">
        <f t="shared" si="1"/>
        <v>0.40731301939058312</v>
      </c>
      <c r="O11">
        <f>(ABS(L11-G11)/G11)*100</f>
        <v>0.32544364451108831</v>
      </c>
      <c r="P11">
        <f>(F11/C11)*100</f>
        <v>91.569784946236553</v>
      </c>
    </row>
    <row r="12" spans="1:16" x14ac:dyDescent="0.25">
      <c r="A12">
        <v>60</v>
      </c>
      <c r="B12">
        <v>1.47</v>
      </c>
      <c r="C12">
        <f t="shared" si="6"/>
        <v>88.2</v>
      </c>
      <c r="D12">
        <v>24.46</v>
      </c>
      <c r="E12">
        <v>3.31</v>
      </c>
      <c r="F12">
        <f t="shared" si="7"/>
        <v>80.962600000000009</v>
      </c>
      <c r="G12">
        <f t="shared" si="9"/>
        <v>7.3897280966767376</v>
      </c>
      <c r="H12">
        <v>30.411733999999999</v>
      </c>
      <c r="I12">
        <v>4.1454120000000003</v>
      </c>
      <c r="J12">
        <v>24.581302999999998</v>
      </c>
      <c r="K12">
        <v>3.3506680000000002</v>
      </c>
      <c r="L12">
        <f t="shared" si="8"/>
        <v>7.3362395200001904</v>
      </c>
      <c r="M12">
        <f t="shared" si="0"/>
        <v>0.4959239574815924</v>
      </c>
      <c r="N12">
        <f t="shared" si="1"/>
        <v>1.2286404833836904</v>
      </c>
      <c r="O12">
        <f>(ABS(L12-G12)/G12)*100</f>
        <v>0.72382333932694642</v>
      </c>
      <c r="P12">
        <f>(F12/C12)*100</f>
        <v>91.79433106575965</v>
      </c>
    </row>
    <row r="13" spans="1:16" x14ac:dyDescent="0.25">
      <c r="A13">
        <v>60</v>
      </c>
      <c r="B13">
        <v>1.37</v>
      </c>
      <c r="C13">
        <f>A13*B13</f>
        <v>82.2</v>
      </c>
      <c r="D13">
        <v>25.22</v>
      </c>
      <c r="E13">
        <v>2.97</v>
      </c>
      <c r="F13">
        <f>D13*E13</f>
        <v>74.903400000000005</v>
      </c>
      <c r="G13">
        <f>D13/E13</f>
        <v>8.4915824915824913</v>
      </c>
      <c r="H13">
        <v>30.412528999999999</v>
      </c>
      <c r="I13">
        <v>3.6168800000000001</v>
      </c>
      <c r="J13">
        <v>25.310092999999998</v>
      </c>
      <c r="K13">
        <v>3.010062</v>
      </c>
      <c r="L13">
        <f>J13/K13</f>
        <v>8.4084955725164452</v>
      </c>
      <c r="M13">
        <f t="shared" si="0"/>
        <v>0.35722839016653263</v>
      </c>
      <c r="N13">
        <f t="shared" si="1"/>
        <v>1.3488888888888828</v>
      </c>
      <c r="O13">
        <f>(ABS(L13-G13)/G13)*100</f>
        <v>0.97846213174526997</v>
      </c>
      <c r="P13">
        <f>(F13/C13)*100</f>
        <v>91.123357664233581</v>
      </c>
    </row>
    <row r="14" spans="1:16" x14ac:dyDescent="0.25">
      <c r="A14">
        <v>60</v>
      </c>
      <c r="B14">
        <v>1.24</v>
      </c>
      <c r="C14">
        <f>A14*B14</f>
        <v>74.400000000000006</v>
      </c>
      <c r="D14">
        <v>25.83</v>
      </c>
      <c r="E14" s="3">
        <v>2.61</v>
      </c>
      <c r="F14">
        <f>D14*E14</f>
        <v>67.416299999999993</v>
      </c>
      <c r="G14">
        <f>D14/E14</f>
        <v>9.8965517241379306</v>
      </c>
      <c r="H14">
        <v>30.412239</v>
      </c>
      <c r="I14">
        <v>3.1199020000000002</v>
      </c>
      <c r="J14">
        <v>25.861650000000001</v>
      </c>
      <c r="K14">
        <v>2.6530710000000002</v>
      </c>
      <c r="L14">
        <f>J14/K14</f>
        <v>9.7478167753520353</v>
      </c>
      <c r="M14">
        <f t="shared" si="0"/>
        <v>0.1225319396051205</v>
      </c>
      <c r="N14">
        <f t="shared" si="1"/>
        <v>1.6502298850574832</v>
      </c>
      <c r="O14">
        <f>(ABS(L14-G14)/G14)*100</f>
        <v>1.5028966950491167</v>
      </c>
      <c r="P14">
        <f>(F14/C14)*100</f>
        <v>90.613306451612885</v>
      </c>
    </row>
    <row r="15" spans="1:16" x14ac:dyDescent="0.25">
      <c r="A15">
        <v>60</v>
      </c>
      <c r="B15">
        <v>1.1200000000000001</v>
      </c>
      <c r="C15">
        <f t="shared" ref="C15:C16" si="10">A15*B15</f>
        <v>67.2</v>
      </c>
      <c r="D15">
        <v>26.27</v>
      </c>
      <c r="E15">
        <v>2.2999999999999998</v>
      </c>
      <c r="F15">
        <f t="shared" ref="F15:F16" si="11">D15*E15</f>
        <v>60.420999999999992</v>
      </c>
      <c r="G15">
        <f t="shared" ref="G15:G16" si="12">D15/E15</f>
        <v>11.421739130434784</v>
      </c>
      <c r="H15">
        <v>30.414455</v>
      </c>
      <c r="I15">
        <v>2.7397300000000002</v>
      </c>
      <c r="J15">
        <v>26.282420999999999</v>
      </c>
      <c r="K15">
        <v>2.3675169999999999</v>
      </c>
      <c r="L15">
        <f t="shared" ref="L15:L16" si="13">J15/K15</f>
        <v>11.101259674164959</v>
      </c>
      <c r="M15">
        <f t="shared" si="0"/>
        <v>4.7282070803196782E-2</v>
      </c>
      <c r="N15">
        <f t="shared" si="1"/>
        <v>2.9355217391304369</v>
      </c>
      <c r="O15">
        <f>(ABS(L15-G15)/G15)*100</f>
        <v>2.805872666237518</v>
      </c>
      <c r="P15">
        <f>(F15/C15)*100</f>
        <v>89.912202380952365</v>
      </c>
    </row>
    <row r="16" spans="1:16" x14ac:dyDescent="0.25">
      <c r="A16">
        <v>60</v>
      </c>
      <c r="B16">
        <v>0.93</v>
      </c>
      <c r="C16">
        <f t="shared" si="10"/>
        <v>55.800000000000004</v>
      </c>
      <c r="D16">
        <v>26.65</v>
      </c>
      <c r="E16">
        <v>1.87</v>
      </c>
      <c r="F16">
        <f t="shared" si="11"/>
        <v>49.835500000000003</v>
      </c>
      <c r="G16">
        <f t="shared" si="12"/>
        <v>14.251336898395721</v>
      </c>
      <c r="H16">
        <v>30.413723000000001</v>
      </c>
      <c r="I16">
        <v>2.2251089999999998</v>
      </c>
      <c r="J16">
        <v>26.626436000000002</v>
      </c>
      <c r="K16">
        <v>1.948026</v>
      </c>
      <c r="L16">
        <f t="shared" si="13"/>
        <v>13.668419210010544</v>
      </c>
      <c r="M16">
        <f t="shared" si="0"/>
        <v>8.8420262664153135E-2</v>
      </c>
      <c r="N16">
        <f t="shared" si="1"/>
        <v>4.1725133689839531</v>
      </c>
      <c r="O16">
        <f>(ABS(L16-G16)/G16)*100</f>
        <v>4.090266706492609</v>
      </c>
      <c r="P16">
        <f>(F16/C16)*100</f>
        <v>89.310931899641574</v>
      </c>
    </row>
    <row r="17" spans="1:16" x14ac:dyDescent="0.25">
      <c r="A17">
        <v>60</v>
      </c>
      <c r="B17">
        <v>0.6</v>
      </c>
      <c r="C17">
        <f>A17*B17</f>
        <v>36</v>
      </c>
      <c r="D17">
        <v>27.29</v>
      </c>
      <c r="E17">
        <v>1.1100000000000001</v>
      </c>
      <c r="F17">
        <f>D17*E17</f>
        <v>30.291900000000002</v>
      </c>
      <c r="G17">
        <f>D17/E17</f>
        <v>24.585585585585584</v>
      </c>
      <c r="H17">
        <v>30.427081999999999</v>
      </c>
      <c r="I17">
        <v>1.4404539999999999</v>
      </c>
      <c r="J17">
        <v>27.169167000000002</v>
      </c>
      <c r="K17">
        <v>1.2862199999999999</v>
      </c>
      <c r="L17">
        <f>J17/K17</f>
        <v>21.123265848766156</v>
      </c>
      <c r="M17">
        <f t="shared" si="0"/>
        <v>0.44277390985708148</v>
      </c>
      <c r="N17">
        <f t="shared" si="1"/>
        <v>15.875675675675657</v>
      </c>
      <c r="O17">
        <f>(ABS(L17-G17)/G17)*100</f>
        <v>14.082722271416509</v>
      </c>
      <c r="P17">
        <f>(F17/C17)*100</f>
        <v>84.144166666666678</v>
      </c>
    </row>
    <row r="18" spans="1:16" x14ac:dyDescent="0.25">
      <c r="A18">
        <v>60</v>
      </c>
      <c r="B18">
        <v>0.33</v>
      </c>
      <c r="C18">
        <f>A18*B18</f>
        <v>19.8</v>
      </c>
      <c r="D18">
        <v>27.79</v>
      </c>
      <c r="E18">
        <v>0.52</v>
      </c>
      <c r="F18">
        <f>D18*E18</f>
        <v>14.450799999999999</v>
      </c>
      <c r="G18">
        <f>D18/E18</f>
        <v>53.442307692307686</v>
      </c>
      <c r="H18">
        <v>30.434350999999999</v>
      </c>
      <c r="I18">
        <v>0.80703899999999995</v>
      </c>
      <c r="J18">
        <v>27.623262</v>
      </c>
      <c r="K18">
        <v>0.73249600000000004</v>
      </c>
      <c r="L18">
        <f>J18/K18</f>
        <v>37.711143815119812</v>
      </c>
      <c r="M18">
        <f t="shared" si="0"/>
        <v>0.59999280316660208</v>
      </c>
      <c r="N18">
        <f t="shared" si="1"/>
        <v>40.864615384615391</v>
      </c>
      <c r="O18">
        <f>(ABS(L18-G18)/G18)*100</f>
        <v>29.435787031801713</v>
      </c>
      <c r="P18">
        <f>(F18/C18)*100</f>
        <v>72.983838383838375</v>
      </c>
    </row>
    <row r="19" spans="1:16" x14ac:dyDescent="0.25">
      <c r="A19">
        <v>60</v>
      </c>
      <c r="B19">
        <v>0.14000000000000001</v>
      </c>
      <c r="C19">
        <f>A19*B19</f>
        <v>8.4</v>
      </c>
      <c r="D19">
        <v>28.2</v>
      </c>
      <c r="E19">
        <v>0.06</v>
      </c>
      <c r="F19">
        <f>D19*E19</f>
        <v>1.6919999999999999</v>
      </c>
      <c r="G19">
        <f>D19/E19</f>
        <v>470</v>
      </c>
      <c r="H19">
        <v>30.437847000000001</v>
      </c>
      <c r="I19">
        <v>0.32041599999999998</v>
      </c>
      <c r="J19">
        <v>27.982399000000001</v>
      </c>
      <c r="K19">
        <v>0.294568</v>
      </c>
      <c r="L19">
        <f>J19/K19</f>
        <v>94.994700714266315</v>
      </c>
      <c r="M19">
        <f t="shared" si="0"/>
        <v>0.77163475177304397</v>
      </c>
      <c r="N19">
        <f t="shared" si="1"/>
        <v>390.94666666666672</v>
      </c>
      <c r="O19">
        <f>(ABS(L19-G19)/G19)*100</f>
        <v>79.788361550156111</v>
      </c>
      <c r="P19">
        <f>(F19/C19)*100</f>
        <v>20.142857142857139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Ceolin De Brito (Student at CentraleSupelec)</dc:creator>
  <cp:lastModifiedBy>Gabriel Ceolin De Brito (Student at CentraleSupelec)</cp:lastModifiedBy>
  <dcterms:created xsi:type="dcterms:W3CDTF">2025-05-16T10:23:07Z</dcterms:created>
  <dcterms:modified xsi:type="dcterms:W3CDTF">2026-01-27T16:38:40Z</dcterms:modified>
</cp:coreProperties>
</file>