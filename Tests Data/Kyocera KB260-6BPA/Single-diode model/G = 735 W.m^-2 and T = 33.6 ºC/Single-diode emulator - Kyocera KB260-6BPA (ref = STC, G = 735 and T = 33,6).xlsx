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Stage_GeePs\PV-emulator\Tests Data\Kyocera KB260-6BPA\Single-diode model\G = 735 W.m^-2 and T = 33.6 ºC\"/>
    </mc:Choice>
  </mc:AlternateContent>
  <xr:revisionPtr revIDLastSave="0" documentId="13_ncr:1_{251658E7-63E4-4FFF-B904-1E5C87C5BDED}" xr6:coauthVersionLast="47" xr6:coauthVersionMax="47" xr10:uidLastSave="{00000000-0000-0000-0000-000000000000}"/>
  <bookViews>
    <workbookView xWindow="32850" yWindow="0" windowWidth="16545" windowHeight="15585" xr2:uid="{217CCB4B-160F-4504-987F-9C10DFEEC6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" l="1"/>
  <c r="M10" i="1"/>
  <c r="L10" i="1"/>
  <c r="O10" i="1" s="1"/>
  <c r="G10" i="1"/>
  <c r="F10" i="1"/>
  <c r="P10" i="1" s="1"/>
  <c r="C10" i="1"/>
  <c r="N3" i="1"/>
  <c r="M3" i="1"/>
  <c r="L3" i="1"/>
  <c r="O3" i="1" s="1"/>
  <c r="G3" i="1"/>
  <c r="F3" i="1"/>
  <c r="P3" i="1" s="1"/>
  <c r="C3" i="1"/>
  <c r="N9" i="1"/>
  <c r="M9" i="1"/>
  <c r="L9" i="1"/>
  <c r="G9" i="1"/>
  <c r="F9" i="1"/>
  <c r="C9" i="1"/>
  <c r="N4" i="1"/>
  <c r="N5" i="1"/>
  <c r="N6" i="1"/>
  <c r="N7" i="1"/>
  <c r="N8" i="1"/>
  <c r="N11" i="1"/>
  <c r="N12" i="1"/>
  <c r="N13" i="1"/>
  <c r="N14" i="1"/>
  <c r="N15" i="1"/>
  <c r="N16" i="1"/>
  <c r="N17" i="1"/>
  <c r="N18" i="1"/>
  <c r="N2" i="1"/>
  <c r="M4" i="1"/>
  <c r="M5" i="1"/>
  <c r="M6" i="1"/>
  <c r="M7" i="1"/>
  <c r="M8" i="1"/>
  <c r="M11" i="1"/>
  <c r="M12" i="1"/>
  <c r="M13" i="1"/>
  <c r="M14" i="1"/>
  <c r="M15" i="1"/>
  <c r="M16" i="1"/>
  <c r="M17" i="1"/>
  <c r="M18" i="1"/>
  <c r="M2" i="1"/>
  <c r="G15" i="1"/>
  <c r="G13" i="1"/>
  <c r="C17" i="1"/>
  <c r="F17" i="1"/>
  <c r="G17" i="1"/>
  <c r="L17" i="1"/>
  <c r="C18" i="1"/>
  <c r="F18" i="1"/>
  <c r="G18" i="1"/>
  <c r="L18" i="1"/>
  <c r="L16" i="1"/>
  <c r="G16" i="1"/>
  <c r="F16" i="1"/>
  <c r="C16" i="1"/>
  <c r="G12" i="1"/>
  <c r="L6" i="1"/>
  <c r="G6" i="1"/>
  <c r="F6" i="1"/>
  <c r="C6" i="1"/>
  <c r="L2" i="1"/>
  <c r="G2" i="1"/>
  <c r="F2" i="1"/>
  <c r="C2" i="1"/>
  <c r="L5" i="1"/>
  <c r="L7" i="1"/>
  <c r="L8" i="1"/>
  <c r="L11" i="1"/>
  <c r="L12" i="1"/>
  <c r="L13" i="1"/>
  <c r="L14" i="1"/>
  <c r="L15" i="1"/>
  <c r="L4" i="1"/>
  <c r="C15" i="1"/>
  <c r="F15" i="1"/>
  <c r="G14" i="1"/>
  <c r="F14" i="1"/>
  <c r="C14" i="1"/>
  <c r="G4" i="1"/>
  <c r="F4" i="1"/>
  <c r="C4" i="1"/>
  <c r="F5" i="1"/>
  <c r="G5" i="1"/>
  <c r="F7" i="1"/>
  <c r="G7" i="1"/>
  <c r="F8" i="1"/>
  <c r="G8" i="1"/>
  <c r="F11" i="1"/>
  <c r="G11" i="1"/>
  <c r="F12" i="1"/>
  <c r="F13" i="1"/>
  <c r="C7" i="1"/>
  <c r="C5" i="1"/>
  <c r="C8" i="1"/>
  <c r="C11" i="1"/>
  <c r="C12" i="1"/>
  <c r="C13" i="1"/>
  <c r="O9" i="1" l="1"/>
  <c r="P9" i="1"/>
  <c r="O18" i="1"/>
  <c r="P18" i="1"/>
  <c r="O17" i="1"/>
  <c r="P17" i="1"/>
  <c r="O6" i="1"/>
  <c r="P6" i="1"/>
  <c r="O16" i="1"/>
  <c r="P16" i="1"/>
  <c r="O15" i="1"/>
  <c r="O2" i="1"/>
  <c r="P2" i="1"/>
  <c r="P14" i="1"/>
  <c r="P15" i="1"/>
  <c r="O14" i="1"/>
  <c r="O4" i="1"/>
  <c r="P4" i="1"/>
  <c r="P7" i="1"/>
  <c r="O7" i="1"/>
  <c r="O5" i="1"/>
  <c r="P5" i="1"/>
  <c r="O8" i="1"/>
  <c r="P8" i="1"/>
  <c r="O11" i="1"/>
  <c r="P11" i="1"/>
  <c r="O12" i="1"/>
  <c r="P12" i="1"/>
  <c r="P13" i="1"/>
  <c r="O13" i="1"/>
</calcChain>
</file>

<file path=xl/sharedStrings.xml><?xml version="1.0" encoding="utf-8"?>
<sst xmlns="http://schemas.openxmlformats.org/spreadsheetml/2006/main" count="16" uniqueCount="16">
  <si>
    <t>Vs_test</t>
  </si>
  <si>
    <t>Is_test</t>
  </si>
  <si>
    <t>Vs*</t>
  </si>
  <si>
    <t>Is*</t>
  </si>
  <si>
    <t>Vs (Volt)</t>
  </si>
  <si>
    <t>Is (Amp)</t>
  </si>
  <si>
    <t>Ve (alim)</t>
  </si>
  <si>
    <t>Ie (alim)</t>
  </si>
  <si>
    <t>Ps</t>
  </si>
  <si>
    <t>R*</t>
  </si>
  <si>
    <t xml:space="preserve">R </t>
  </si>
  <si>
    <t xml:space="preserve">Pe </t>
  </si>
  <si>
    <t>Rend. (%)</t>
  </si>
  <si>
    <t>R Error (%)</t>
  </si>
  <si>
    <t>Vs Error (%)</t>
  </si>
  <si>
    <t>Is Error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</si>
</sst>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2">
    <cellStyle name="Ênfase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D570-ED79-418B-A1D1-0F000D275672}">
  <dimension ref="A1:P18"/>
  <sheetViews>
    <sheetView tabSelected="1" zoomScaleNormal="100" workbookViewId="0">
      <selection activeCell="A19" sqref="A19:P19"/>
    </sheetView>
  </sheetViews>
  <sheetFormatPr defaultColWidth="9.140625" defaultRowHeight="15" x14ac:dyDescent="0.25"/>
  <cols>
    <col min="5" max="5" width="8.5703125" customWidth="1"/>
  </cols>
  <sheetData>
    <row r="1" spans="1:16" s="2" customFormat="1" x14ac:dyDescent="0.25">
      <c r="A1" s="1" t="s">
        <v>6</v>
      </c>
      <c r="B1" s="1" t="s">
        <v>7</v>
      </c>
      <c r="C1" s="1" t="s">
        <v>11</v>
      </c>
      <c r="D1" s="1" t="s">
        <v>4</v>
      </c>
      <c r="E1" s="1" t="s">
        <v>5</v>
      </c>
      <c r="F1" s="1" t="s">
        <v>8</v>
      </c>
      <c r="G1" s="1" t="s">
        <v>10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9</v>
      </c>
      <c r="M1" s="1" t="s">
        <v>14</v>
      </c>
      <c r="N1" s="1" t="s">
        <v>15</v>
      </c>
      <c r="O1" s="1" t="s">
        <v>13</v>
      </c>
      <c r="P1" s="1" t="s">
        <v>12</v>
      </c>
    </row>
    <row r="2" spans="1:16" x14ac:dyDescent="0.25">
      <c r="A2">
        <v>60</v>
      </c>
      <c r="B2">
        <v>2.77</v>
      </c>
      <c r="C2">
        <f>A2*B2</f>
        <v>166.2</v>
      </c>
      <c r="D2">
        <v>22.98</v>
      </c>
      <c r="E2">
        <v>6.75</v>
      </c>
      <c r="F2">
        <f>D2*E2</f>
        <v>155.11500000000001</v>
      </c>
      <c r="G2">
        <f>D2/E2</f>
        <v>3.4044444444444446</v>
      </c>
      <c r="H2">
        <v>38.970061999999999</v>
      </c>
      <c r="I2">
        <v>11.051579</v>
      </c>
      <c r="J2">
        <v>23.384464000000001</v>
      </c>
      <c r="K2">
        <v>6.6316360000000003</v>
      </c>
      <c r="L2">
        <f>J2/K2</f>
        <v>3.5261983619125057</v>
      </c>
      <c r="M2">
        <f>ABS(J2-D2)/D2*100</f>
        <v>1.7600696257615351</v>
      </c>
      <c r="N2">
        <f>ABS(K2-E2)/E2*100</f>
        <v>1.753540740740736</v>
      </c>
      <c r="O2">
        <f t="shared" ref="O2:O19" si="0">(ABS(L2-G2)/G2)*100</f>
        <v>3.5763226410331259</v>
      </c>
      <c r="P2">
        <f t="shared" ref="P2:P19" si="1">(F2/C2)*100</f>
        <v>93.330324909747304</v>
      </c>
    </row>
    <row r="3" spans="1:16" x14ac:dyDescent="0.25">
      <c r="A3">
        <v>60</v>
      </c>
      <c r="B3">
        <v>2.88</v>
      </c>
      <c r="C3">
        <f>A3*B3</f>
        <v>172.79999999999998</v>
      </c>
      <c r="D3">
        <v>24.22</v>
      </c>
      <c r="E3">
        <v>6.65</v>
      </c>
      <c r="F3">
        <f>D3*E3</f>
        <v>161.06299999999999</v>
      </c>
      <c r="G3">
        <f>D3/E3</f>
        <v>3.6421052631578945</v>
      </c>
      <c r="H3">
        <v>38.970139000000003</v>
      </c>
      <c r="I3">
        <v>10.476988</v>
      </c>
      <c r="J3">
        <v>24.569762999999998</v>
      </c>
      <c r="K3">
        <v>6.6054959999999996</v>
      </c>
      <c r="L3">
        <f>J3/K3</f>
        <v>3.7195939563054763</v>
      </c>
      <c r="M3">
        <f>ABS(J3-D3)/D3*100</f>
        <v>1.4441081750619298</v>
      </c>
      <c r="N3">
        <f>ABS(K3-E3)/E3*100</f>
        <v>0.66923308270677839</v>
      </c>
      <c r="O3">
        <f t="shared" ref="O3" si="2">(ABS(L3-G3)/G3)*100</f>
        <v>2.1275797251503668</v>
      </c>
      <c r="P3">
        <f t="shared" ref="P3" si="3">(F3/C3)*100</f>
        <v>93.207754629629633</v>
      </c>
    </row>
    <row r="4" spans="1:16" x14ac:dyDescent="0.25">
      <c r="A4">
        <v>60</v>
      </c>
      <c r="B4">
        <v>3</v>
      </c>
      <c r="C4">
        <f t="shared" ref="C4:C16" si="4">A2*B4</f>
        <v>180</v>
      </c>
      <c r="D4">
        <v>25.23</v>
      </c>
      <c r="E4">
        <v>6.71</v>
      </c>
      <c r="F4">
        <f>D4*E4</f>
        <v>169.29329999999999</v>
      </c>
      <c r="G4">
        <f>D4/E4</f>
        <v>3.7600596125186292</v>
      </c>
      <c r="H4">
        <v>38.970100000000002</v>
      </c>
      <c r="I4">
        <v>10.006746</v>
      </c>
      <c r="J4">
        <v>25.593412000000001</v>
      </c>
      <c r="K4">
        <v>6.571879</v>
      </c>
      <c r="L4">
        <f>J4/K4</f>
        <v>3.8943827176367671</v>
      </c>
      <c r="M4">
        <f t="shared" ref="M4:M19" si="5">ABS(J4-D4)/D4*100</f>
        <v>1.4403963535473654</v>
      </c>
      <c r="N4">
        <f t="shared" ref="N4:N19" si="6">ABS(K4-E4)/E4*100</f>
        <v>2.0584351713859901</v>
      </c>
      <c r="O4">
        <f t="shared" si="0"/>
        <v>3.5723663707598314</v>
      </c>
      <c r="P4">
        <f t="shared" si="1"/>
        <v>94.05183333333332</v>
      </c>
    </row>
    <row r="5" spans="1:16" x14ac:dyDescent="0.25">
      <c r="A5">
        <v>60</v>
      </c>
      <c r="B5">
        <v>3.1</v>
      </c>
      <c r="C5">
        <f t="shared" si="4"/>
        <v>186</v>
      </c>
      <c r="D5">
        <v>26.31</v>
      </c>
      <c r="E5" s="3">
        <v>6.68</v>
      </c>
      <c r="F5">
        <f>D5*E5</f>
        <v>175.7508</v>
      </c>
      <c r="G5">
        <f>D5/E5</f>
        <v>3.9386227544910177</v>
      </c>
      <c r="H5">
        <v>38.478721999999998</v>
      </c>
      <c r="I5">
        <v>9.3974969999999995</v>
      </c>
      <c r="J5">
        <v>26.668896</v>
      </c>
      <c r="K5">
        <v>6.5132329999999996</v>
      </c>
      <c r="L5">
        <f t="shared" ref="L5:L15" si="7">J5/K5</f>
        <v>4.0945711599753922</v>
      </c>
      <c r="M5">
        <f t="shared" si="5"/>
        <v>1.3641049030786829</v>
      </c>
      <c r="N5">
        <f t="shared" si="6"/>
        <v>2.496511976047906</v>
      </c>
      <c r="O5">
        <f t="shared" si="0"/>
        <v>3.9594654072049478</v>
      </c>
      <c r="P5">
        <f t="shared" si="1"/>
        <v>94.489677419354834</v>
      </c>
    </row>
    <row r="6" spans="1:16" x14ac:dyDescent="0.25">
      <c r="A6">
        <v>60</v>
      </c>
      <c r="B6">
        <v>3.16</v>
      </c>
      <c r="C6">
        <f t="shared" si="4"/>
        <v>189.60000000000002</v>
      </c>
      <c r="D6">
        <v>27.33</v>
      </c>
      <c r="E6" s="3">
        <v>6.59</v>
      </c>
      <c r="F6">
        <f>D6*E6</f>
        <v>180.10469999999998</v>
      </c>
      <c r="G6">
        <f>D6/E6</f>
        <v>4.1471927162367219</v>
      </c>
      <c r="H6">
        <v>38.481833999999999</v>
      </c>
      <c r="I6">
        <v>8.9497090000000004</v>
      </c>
      <c r="J6">
        <v>27.661718</v>
      </c>
      <c r="K6">
        <v>6.4332779999999996</v>
      </c>
      <c r="L6">
        <f t="shared" ref="L6" si="8">J6/K6</f>
        <v>4.2997858945315288</v>
      </c>
      <c r="M6">
        <f t="shared" si="5"/>
        <v>1.2137504573728584</v>
      </c>
      <c r="N6">
        <f t="shared" si="6"/>
        <v>2.3781790591805807</v>
      </c>
      <c r="O6">
        <f t="shared" si="0"/>
        <v>3.6794330221835989</v>
      </c>
      <c r="P6">
        <f t="shared" si="1"/>
        <v>94.991930379746819</v>
      </c>
    </row>
    <row r="7" spans="1:16" x14ac:dyDescent="0.25">
      <c r="A7">
        <v>60</v>
      </c>
      <c r="B7">
        <v>3.17</v>
      </c>
      <c r="C7">
        <f t="shared" si="4"/>
        <v>190.2</v>
      </c>
      <c r="D7">
        <v>28.23</v>
      </c>
      <c r="E7">
        <v>6.42</v>
      </c>
      <c r="F7">
        <f t="shared" ref="F7" si="9">D7*E7</f>
        <v>181.23660000000001</v>
      </c>
      <c r="G7">
        <f t="shared" ref="G7" si="10">D7/E7</f>
        <v>4.3971962616822431</v>
      </c>
      <c r="H7">
        <v>38.481712000000002</v>
      </c>
      <c r="I7">
        <v>8.5261759999999995</v>
      </c>
      <c r="J7">
        <v>28.555620000000001</v>
      </c>
      <c r="K7">
        <v>6.3269080000000004</v>
      </c>
      <c r="L7">
        <f t="shared" si="7"/>
        <v>4.5133610287995332</v>
      </c>
      <c r="M7">
        <f t="shared" si="5"/>
        <v>1.1534537725823615</v>
      </c>
      <c r="N7">
        <f t="shared" si="6"/>
        <v>1.4500311526479674</v>
      </c>
      <c r="O7">
        <f t="shared" si="0"/>
        <v>2.6417917282784349</v>
      </c>
      <c r="P7">
        <f t="shared" si="1"/>
        <v>95.287381703470047</v>
      </c>
    </row>
    <row r="8" spans="1:16" x14ac:dyDescent="0.25">
      <c r="A8">
        <v>60</v>
      </c>
      <c r="B8">
        <v>3.25</v>
      </c>
      <c r="C8">
        <f t="shared" si="4"/>
        <v>195</v>
      </c>
      <c r="D8">
        <v>29.18</v>
      </c>
      <c r="E8">
        <v>6.38</v>
      </c>
      <c r="F8">
        <f>D8*E8</f>
        <v>186.16839999999999</v>
      </c>
      <c r="G8">
        <f t="shared" ref="G8:G12" si="11">D8/E8</f>
        <v>4.5736677115987465</v>
      </c>
      <c r="H8">
        <v>38.97081</v>
      </c>
      <c r="I8">
        <v>8.1682190000000006</v>
      </c>
      <c r="J8">
        <v>29.45533</v>
      </c>
      <c r="K8">
        <v>6.1737900000000003</v>
      </c>
      <c r="L8">
        <f t="shared" si="7"/>
        <v>4.7710288169827608</v>
      </c>
      <c r="M8">
        <f t="shared" si="5"/>
        <v>0.94355723098012434</v>
      </c>
      <c r="N8">
        <f t="shared" si="6"/>
        <v>3.2321316614419997</v>
      </c>
      <c r="O8">
        <f t="shared" si="0"/>
        <v>4.3151605632282761</v>
      </c>
      <c r="P8">
        <f t="shared" si="1"/>
        <v>95.47097435897436</v>
      </c>
    </row>
    <row r="9" spans="1:16" x14ac:dyDescent="0.25">
      <c r="A9">
        <v>60</v>
      </c>
      <c r="B9">
        <v>3.22</v>
      </c>
      <c r="C9">
        <f t="shared" ref="C9" si="12">A7*B9</f>
        <v>193.20000000000002</v>
      </c>
      <c r="D9">
        <v>30.16</v>
      </c>
      <c r="E9">
        <v>6.15</v>
      </c>
      <c r="F9">
        <f>D9*E9</f>
        <v>185.48400000000001</v>
      </c>
      <c r="G9">
        <f t="shared" ref="G9" si="13">D9/E9</f>
        <v>4.9040650406504058</v>
      </c>
      <c r="H9">
        <v>38.484023999999998</v>
      </c>
      <c r="I9">
        <v>7.5276269999999998</v>
      </c>
      <c r="J9">
        <v>30.391579</v>
      </c>
      <c r="K9">
        <v>5.9447130000000001</v>
      </c>
      <c r="L9">
        <f t="shared" ref="L9" si="14">J9/K9</f>
        <v>5.1123711102621776</v>
      </c>
      <c r="M9">
        <f t="shared" ref="M9" si="15">ABS(J9-D9)/D9*100</f>
        <v>0.76783488063660466</v>
      </c>
      <c r="N9">
        <f t="shared" ref="N9" si="16">ABS(K9-E9)/E9*100</f>
        <v>3.3380000000000036</v>
      </c>
      <c r="O9">
        <f t="shared" ref="O9" si="17">(ABS(L9-G9)/G9)*100</f>
        <v>4.2476204513010503</v>
      </c>
      <c r="P9">
        <f t="shared" ref="P9" si="18">(F9/C9)*100</f>
        <v>96.006211180124225</v>
      </c>
    </row>
    <row r="10" spans="1:16" x14ac:dyDescent="0.25">
      <c r="A10">
        <v>60</v>
      </c>
      <c r="B10">
        <v>3.11</v>
      </c>
      <c r="C10">
        <f t="shared" ref="C10" si="19">A8*B10</f>
        <v>186.6</v>
      </c>
      <c r="D10">
        <v>31.23</v>
      </c>
      <c r="E10">
        <v>5.7</v>
      </c>
      <c r="F10">
        <f>D10*E10</f>
        <v>178.011</v>
      </c>
      <c r="G10">
        <f t="shared" ref="G10" si="20">D10/E10</f>
        <v>5.4789473684210526</v>
      </c>
      <c r="H10">
        <v>38.485474000000004</v>
      </c>
      <c r="I10">
        <v>6.8425450000000003</v>
      </c>
      <c r="J10">
        <v>31.405591999999999</v>
      </c>
      <c r="K10">
        <v>5.583774</v>
      </c>
      <c r="L10">
        <f t="shared" ref="L10" si="21">J10/K10</f>
        <v>5.6244382383670972</v>
      </c>
      <c r="M10">
        <f t="shared" ref="M10" si="22">ABS(J10-D10)/D10*100</f>
        <v>0.56225424271533198</v>
      </c>
      <c r="N10">
        <f t="shared" ref="N10" si="23">ABS(K10-E10)/E10*100</f>
        <v>2.0390526315789503</v>
      </c>
      <c r="O10">
        <f t="shared" ref="O10" si="24">(ABS(L10-G10)/G10)*100</f>
        <v>2.6554529577087882</v>
      </c>
      <c r="P10">
        <f t="shared" ref="P10" si="25">(F10/C10)*100</f>
        <v>95.397106109324753</v>
      </c>
    </row>
    <row r="11" spans="1:16" x14ac:dyDescent="0.25">
      <c r="A11">
        <v>60</v>
      </c>
      <c r="B11">
        <v>3.01</v>
      </c>
      <c r="C11">
        <f t="shared" si="4"/>
        <v>180.6</v>
      </c>
      <c r="D11">
        <v>31.84</v>
      </c>
      <c r="E11">
        <v>5.42</v>
      </c>
      <c r="F11">
        <f>D11*E11</f>
        <v>172.5728</v>
      </c>
      <c r="G11">
        <f t="shared" si="11"/>
        <v>5.8745387453874542</v>
      </c>
      <c r="H11">
        <v>38.480384999999998</v>
      </c>
      <c r="I11">
        <v>6.376169</v>
      </c>
      <c r="J11">
        <v>31.972301000000002</v>
      </c>
      <c r="K11">
        <v>5.2977850000000002</v>
      </c>
      <c r="L11">
        <f t="shared" si="7"/>
        <v>6.0350318104641847</v>
      </c>
      <c r="M11">
        <f t="shared" si="5"/>
        <v>0.41551821608040762</v>
      </c>
      <c r="N11">
        <f t="shared" si="6"/>
        <v>2.2548892988929841</v>
      </c>
      <c r="O11">
        <f t="shared" si="0"/>
        <v>2.7320113464694691</v>
      </c>
      <c r="P11">
        <f t="shared" si="1"/>
        <v>95.555260243632347</v>
      </c>
    </row>
    <row r="12" spans="1:16" x14ac:dyDescent="0.25">
      <c r="A12">
        <v>60</v>
      </c>
      <c r="B12">
        <v>2.91</v>
      </c>
      <c r="C12">
        <f t="shared" si="4"/>
        <v>174.60000000000002</v>
      </c>
      <c r="D12">
        <v>32.32</v>
      </c>
      <c r="E12">
        <v>5.16</v>
      </c>
      <c r="F12">
        <f>D12*E12</f>
        <v>166.77119999999999</v>
      </c>
      <c r="G12">
        <f t="shared" si="11"/>
        <v>6.2635658914728678</v>
      </c>
      <c r="H12">
        <v>38.480625000000003</v>
      </c>
      <c r="I12">
        <v>6.0134030000000003</v>
      </c>
      <c r="J12">
        <v>32.411503000000003</v>
      </c>
      <c r="K12">
        <v>5.0649759999999997</v>
      </c>
      <c r="L12">
        <f t="shared" si="7"/>
        <v>6.3991424638537291</v>
      </c>
      <c r="M12">
        <f t="shared" si="5"/>
        <v>0.28311571782179146</v>
      </c>
      <c r="N12">
        <f t="shared" si="6"/>
        <v>1.8415503875969079</v>
      </c>
      <c r="O12">
        <f t="shared" si="0"/>
        <v>2.1645269600409787</v>
      </c>
      <c r="P12">
        <f t="shared" si="1"/>
        <v>95.516151202749128</v>
      </c>
    </row>
    <row r="13" spans="1:16" x14ac:dyDescent="0.25">
      <c r="A13">
        <v>60</v>
      </c>
      <c r="B13">
        <v>2.74</v>
      </c>
      <c r="C13">
        <f t="shared" si="4"/>
        <v>164.4</v>
      </c>
      <c r="D13">
        <v>32.86</v>
      </c>
      <c r="E13">
        <v>4.7699999999999996</v>
      </c>
      <c r="F13">
        <f t="shared" ref="F13:F14" si="26">D13*E13</f>
        <v>156.7422</v>
      </c>
      <c r="G13">
        <f>D13/E13</f>
        <v>6.8888888888888893</v>
      </c>
      <c r="H13">
        <v>38.485366999999997</v>
      </c>
      <c r="I13">
        <v>5.482672</v>
      </c>
      <c r="J13">
        <v>32.913673000000003</v>
      </c>
      <c r="K13">
        <v>4.6889219999999998</v>
      </c>
      <c r="L13">
        <f t="shared" si="7"/>
        <v>7.0194541517218676</v>
      </c>
      <c r="M13">
        <f t="shared" si="5"/>
        <v>0.16333840535606639</v>
      </c>
      <c r="N13">
        <f t="shared" si="6"/>
        <v>1.6997484276729511</v>
      </c>
      <c r="O13">
        <f t="shared" si="0"/>
        <v>1.8953022024142012</v>
      </c>
      <c r="P13">
        <f t="shared" si="1"/>
        <v>95.341970802919704</v>
      </c>
    </row>
    <row r="14" spans="1:16" x14ac:dyDescent="0.25">
      <c r="A14">
        <v>60</v>
      </c>
      <c r="B14">
        <v>2.63</v>
      </c>
      <c r="C14">
        <f t="shared" si="4"/>
        <v>157.79999999999998</v>
      </c>
      <c r="D14">
        <v>33.159999999999997</v>
      </c>
      <c r="E14">
        <v>4.5199999999999996</v>
      </c>
      <c r="F14">
        <f t="shared" si="26"/>
        <v>149.88319999999996</v>
      </c>
      <c r="G14">
        <f>D14/E14</f>
        <v>7.336283185840708</v>
      </c>
      <c r="H14">
        <v>38.481772999999997</v>
      </c>
      <c r="I14">
        <v>5.186515</v>
      </c>
      <c r="J14">
        <v>33.195103000000003</v>
      </c>
      <c r="K14">
        <v>4.473986</v>
      </c>
      <c r="L14">
        <f t="shared" si="7"/>
        <v>7.4195813308311651</v>
      </c>
      <c r="M14">
        <f t="shared" si="5"/>
        <v>0.10585946924006799</v>
      </c>
      <c r="N14">
        <f t="shared" si="6"/>
        <v>1.0180088495575124</v>
      </c>
      <c r="O14">
        <f t="shared" si="0"/>
        <v>1.1354270668180517</v>
      </c>
      <c r="P14">
        <f t="shared" si="1"/>
        <v>94.983016476552578</v>
      </c>
    </row>
    <row r="15" spans="1:16" x14ac:dyDescent="0.25">
      <c r="A15">
        <v>60</v>
      </c>
      <c r="B15">
        <v>2.4500000000000002</v>
      </c>
      <c r="C15">
        <f t="shared" si="4"/>
        <v>147</v>
      </c>
      <c r="D15">
        <v>33.67</v>
      </c>
      <c r="E15">
        <v>4.1500000000000004</v>
      </c>
      <c r="F15">
        <f t="shared" ref="F15" si="27">D15*E15</f>
        <v>139.73050000000001</v>
      </c>
      <c r="G15">
        <f>D15/E15</f>
        <v>8.113253012048192</v>
      </c>
      <c r="H15">
        <v>38.482933000000003</v>
      </c>
      <c r="I15">
        <v>4.7125979999999998</v>
      </c>
      <c r="J15">
        <v>33.651192000000002</v>
      </c>
      <c r="K15">
        <v>4.1209059999999997</v>
      </c>
      <c r="L15">
        <f t="shared" si="7"/>
        <v>8.1659693281040635</v>
      </c>
      <c r="M15">
        <f t="shared" si="5"/>
        <v>5.5859815859815663E-2</v>
      </c>
      <c r="N15">
        <f t="shared" si="6"/>
        <v>0.70106024096387021</v>
      </c>
      <c r="O15">
        <f t="shared" si="0"/>
        <v>0.64975560330224702</v>
      </c>
      <c r="P15">
        <f t="shared" si="1"/>
        <v>95.054761904761904</v>
      </c>
    </row>
    <row r="16" spans="1:16" x14ac:dyDescent="0.25">
      <c r="A16">
        <v>60</v>
      </c>
      <c r="B16">
        <v>1.88</v>
      </c>
      <c r="C16">
        <f t="shared" si="4"/>
        <v>112.8</v>
      </c>
      <c r="D16">
        <v>34.39</v>
      </c>
      <c r="E16">
        <v>3.11</v>
      </c>
      <c r="F16">
        <f>D16*E16</f>
        <v>106.9529</v>
      </c>
      <c r="G16">
        <f t="shared" ref="G16:G19" si="28">D16/E16</f>
        <v>11.057877813504824</v>
      </c>
      <c r="H16">
        <v>38.483787999999997</v>
      </c>
      <c r="I16">
        <v>3.500327</v>
      </c>
      <c r="J16">
        <v>34.301085999999998</v>
      </c>
      <c r="K16">
        <v>3.119885</v>
      </c>
      <c r="L16">
        <f t="shared" ref="L16:L19" si="29">J16/K16</f>
        <v>10.994343060721789</v>
      </c>
      <c r="M16">
        <f t="shared" si="5"/>
        <v>0.25854608897936204</v>
      </c>
      <c r="N16">
        <f t="shared" si="6"/>
        <v>0.31784565916399177</v>
      </c>
      <c r="O16">
        <f t="shared" si="0"/>
        <v>0.57456551658981725</v>
      </c>
      <c r="P16">
        <f t="shared" si="1"/>
        <v>94.816400709219863</v>
      </c>
    </row>
    <row r="17" spans="1:16" x14ac:dyDescent="0.25">
      <c r="A17">
        <v>60</v>
      </c>
      <c r="B17">
        <v>0.94</v>
      </c>
      <c r="C17">
        <f t="shared" ref="C17:C19" si="30">A15*B17</f>
        <v>56.4</v>
      </c>
      <c r="D17">
        <v>35.56</v>
      </c>
      <c r="E17">
        <v>1.45</v>
      </c>
      <c r="F17">
        <f t="shared" ref="F17:F19" si="31">D17*E17</f>
        <v>51.562000000000005</v>
      </c>
      <c r="G17">
        <f t="shared" si="28"/>
        <v>24.524137931034485</v>
      </c>
      <c r="H17">
        <v>38.970073999999997</v>
      </c>
      <c r="I17">
        <v>1.6906330000000001</v>
      </c>
      <c r="J17">
        <v>35.331485999999998</v>
      </c>
      <c r="K17">
        <v>1.5327809999999999</v>
      </c>
      <c r="L17">
        <f t="shared" si="29"/>
        <v>23.050576696866674</v>
      </c>
      <c r="M17">
        <f t="shared" si="5"/>
        <v>0.64261529808775053</v>
      </c>
      <c r="N17">
        <f t="shared" si="6"/>
        <v>5.7090344827586206</v>
      </c>
      <c r="O17">
        <f t="shared" si="0"/>
        <v>6.0086158311117135</v>
      </c>
      <c r="P17">
        <f t="shared" si="1"/>
        <v>91.421985815602852</v>
      </c>
    </row>
    <row r="18" spans="1:16" x14ac:dyDescent="0.25">
      <c r="A18">
        <v>60</v>
      </c>
      <c r="B18">
        <v>0.16</v>
      </c>
      <c r="C18">
        <f t="shared" si="30"/>
        <v>9.6</v>
      </c>
      <c r="D18">
        <v>36.53</v>
      </c>
      <c r="E18">
        <v>0.08</v>
      </c>
      <c r="F18">
        <f t="shared" si="31"/>
        <v>2.9224000000000001</v>
      </c>
      <c r="G18">
        <f t="shared" si="28"/>
        <v>456.625</v>
      </c>
      <c r="H18">
        <v>38.513306</v>
      </c>
      <c r="I18">
        <v>0.255853</v>
      </c>
      <c r="J18">
        <v>36.170616000000003</v>
      </c>
      <c r="K18">
        <v>0.24029</v>
      </c>
      <c r="L18">
        <f t="shared" si="29"/>
        <v>150.52901077864249</v>
      </c>
      <c r="M18">
        <f t="shared" si="5"/>
        <v>0.98380509170544372</v>
      </c>
      <c r="N18">
        <f t="shared" si="6"/>
        <v>200.36250000000001</v>
      </c>
      <c r="O18">
        <f t="shared" si="0"/>
        <v>67.03443508817027</v>
      </c>
      <c r="P18">
        <f t="shared" si="1"/>
        <v>30.441666666666666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Ceolin De Brito (Student at CentraleSupelec)</dc:creator>
  <cp:lastModifiedBy>Gabriel Ceolin De Brito (Student at CentraleSupelec)</cp:lastModifiedBy>
  <dcterms:created xsi:type="dcterms:W3CDTF">2025-05-16T10:23:07Z</dcterms:created>
  <dcterms:modified xsi:type="dcterms:W3CDTF">2026-03-09T16:12:10Z</dcterms:modified>
</cp:coreProperties>
</file>