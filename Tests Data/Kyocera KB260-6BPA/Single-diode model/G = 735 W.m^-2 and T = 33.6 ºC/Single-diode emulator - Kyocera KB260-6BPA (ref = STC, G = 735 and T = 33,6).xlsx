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Kyocera KB260-6BPA\Single-diode model\G = 735 W.m^-2 and T = 33.6 ºC\"/>
    </mc:Choice>
  </mc:AlternateContent>
  <xr:revisionPtr revIDLastSave="0" documentId="13_ncr:1_{CD2FD8E1-4BE1-4272-A136-BCC79BBFE1F5}" xr6:coauthVersionLast="47" xr6:coauthVersionMax="47" xr10:uidLastSave="{00000000-0000-0000-0000-000000000000}"/>
  <bookViews>
    <workbookView xWindow="20370" yWindow="-120" windowWidth="29040" windowHeight="1572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1" l="1"/>
  <c r="M9" i="1"/>
  <c r="L9" i="1"/>
  <c r="O9" i="1" s="1"/>
  <c r="G9" i="1"/>
  <c r="F9" i="1"/>
  <c r="C9" i="1"/>
  <c r="N3" i="1"/>
  <c r="M3" i="1"/>
  <c r="L3" i="1"/>
  <c r="G3" i="1"/>
  <c r="F3" i="1"/>
  <c r="C3" i="1"/>
  <c r="N4" i="1"/>
  <c r="N5" i="1"/>
  <c r="N6" i="1"/>
  <c r="N7" i="1"/>
  <c r="N8" i="1"/>
  <c r="N10" i="1"/>
  <c r="N11" i="1"/>
  <c r="N12" i="1"/>
  <c r="N13" i="1"/>
  <c r="N14" i="1"/>
  <c r="N15" i="1"/>
  <c r="N16" i="1"/>
  <c r="N17" i="1"/>
  <c r="N18" i="1"/>
  <c r="N19" i="1"/>
  <c r="N2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" i="1"/>
  <c r="G15" i="1"/>
  <c r="G13" i="1"/>
  <c r="C17" i="1"/>
  <c r="F17" i="1"/>
  <c r="G17" i="1"/>
  <c r="L17" i="1"/>
  <c r="C18" i="1"/>
  <c r="F18" i="1"/>
  <c r="G18" i="1"/>
  <c r="L18" i="1"/>
  <c r="C19" i="1"/>
  <c r="F19" i="1"/>
  <c r="G19" i="1"/>
  <c r="L19" i="1"/>
  <c r="L16" i="1"/>
  <c r="G16" i="1"/>
  <c r="F16" i="1"/>
  <c r="C16" i="1"/>
  <c r="G12" i="1"/>
  <c r="L6" i="1"/>
  <c r="G6" i="1"/>
  <c r="F6" i="1"/>
  <c r="C6" i="1"/>
  <c r="L2" i="1"/>
  <c r="G2" i="1"/>
  <c r="F2" i="1"/>
  <c r="C2" i="1"/>
  <c r="L5" i="1"/>
  <c r="L7" i="1"/>
  <c r="L8" i="1"/>
  <c r="L10" i="1"/>
  <c r="L11" i="1"/>
  <c r="L12" i="1"/>
  <c r="L13" i="1"/>
  <c r="L14" i="1"/>
  <c r="L15" i="1"/>
  <c r="L4" i="1"/>
  <c r="C15" i="1"/>
  <c r="F15" i="1"/>
  <c r="G14" i="1"/>
  <c r="F14" i="1"/>
  <c r="C14" i="1"/>
  <c r="G4" i="1"/>
  <c r="F4" i="1"/>
  <c r="C4" i="1"/>
  <c r="F5" i="1"/>
  <c r="G5" i="1"/>
  <c r="F7" i="1"/>
  <c r="G7" i="1"/>
  <c r="F8" i="1"/>
  <c r="G8" i="1"/>
  <c r="F10" i="1"/>
  <c r="G10" i="1"/>
  <c r="F11" i="1"/>
  <c r="G11" i="1"/>
  <c r="F12" i="1"/>
  <c r="F13" i="1"/>
  <c r="C7" i="1"/>
  <c r="C5" i="1"/>
  <c r="C8" i="1"/>
  <c r="C11" i="1"/>
  <c r="C12" i="1"/>
  <c r="C10" i="1"/>
  <c r="C13" i="1"/>
  <c r="P9" i="1" l="1"/>
  <c r="O3" i="1"/>
  <c r="P3" i="1"/>
  <c r="O19" i="1"/>
  <c r="P19" i="1"/>
  <c r="O18" i="1"/>
  <c r="P18" i="1"/>
  <c r="O17" i="1"/>
  <c r="P17" i="1"/>
  <c r="O6" i="1"/>
  <c r="P6" i="1"/>
  <c r="O16" i="1"/>
  <c r="P16" i="1"/>
  <c r="O15" i="1"/>
  <c r="O2" i="1"/>
  <c r="P2" i="1"/>
  <c r="P14" i="1"/>
  <c r="P15" i="1"/>
  <c r="O14" i="1"/>
  <c r="O4" i="1"/>
  <c r="P4" i="1"/>
  <c r="P7" i="1"/>
  <c r="O7" i="1"/>
  <c r="O5" i="1"/>
  <c r="P5" i="1"/>
  <c r="O8" i="1"/>
  <c r="P8" i="1"/>
  <c r="P10" i="1"/>
  <c r="O11" i="1"/>
  <c r="P11" i="1"/>
  <c r="O12" i="1"/>
  <c r="P12" i="1"/>
  <c r="O10" i="1"/>
  <c r="P13" i="1"/>
  <c r="O1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<sst xmlns="http://schemas.openxmlformats.org/spreadsheetml/2006/main" count="16" uniqueCount="16">
  <si>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</si>
  <si>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</si>
  <si>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</si>
  <si>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</si>
  <si>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</si>
  <si>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</si>
  <si>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</si>
  <si>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</si>
  <si>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</si>
  <si>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</si>
  <si>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</si>
  <si>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</si>
  <si>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</si>
  <si>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</si>
  <si>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Vs Error (%)</t>
  </si>
  <si>
    <t>Is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</si>
</sst>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19"/>
  <sheetViews>
    <sheetView tabSelected="1" zoomScale="115" zoomScaleNormal="115" workbookViewId="0">
      <selection activeCell="H19" sqref="H19:L19"/>
    </sheetView>
  </sheetViews>
  <sheetFormatPr defaultColWidth="9.140625" defaultRowHeight="15" x14ac:dyDescent="0.25"/>
  <cols>
    <col min="5" max="5" width="8.5703125" customWidth="1"/>
  </cols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2.9</v>
      </c>
      <c r="C2">
        <f>A2*B2</f>
        <v>174</v>
      </c>
      <c r="D2">
        <v>24.15</v>
      </c>
      <c r="E2">
        <v>6.7</v>
      </c>
      <c r="F2">
        <f>D2*E2</f>
        <v>161.80500000000001</v>
      </c>
      <c r="G2">
        <f>D2/E2</f>
        <v>3.6044776119402981</v>
      </c>
      <c r="H2">
        <v>38.970112</v>
      </c>
      <c r="I2">
        <v>10.432715999999999</v>
      </c>
      <c r="J2">
        <v>24.568944999999999</v>
      </c>
      <c r="K2">
        <v>6.5773700000000002</v>
      </c>
      <c r="L2">
        <f>J2/K2</f>
        <v>3.7353752335659998</v>
      </c>
      <c r="M2">
        <f>ABS(J2-D2)/D2*100</f>
        <v>1.7347619047619081</v>
      </c>
      <c r="N2">
        <f>ABS(K2-E2)/E2*100</f>
        <v>1.8302985074626867</v>
      </c>
      <c r="O2">
        <f t="shared" ref="O2:O19" si="0">(ABS(L2-G2)/G2)*100</f>
        <v>3.6315282190153253</v>
      </c>
      <c r="P2">
        <f t="shared" ref="P2:P19" si="1">(F2/C2)*100</f>
        <v>92.99137931034484</v>
      </c>
    </row>
    <row r="3" spans="1:16" x14ac:dyDescent="0.25">
      <c r="A3">
        <v>60</v>
      </c>
      <c r="B3">
        <v>3</v>
      </c>
      <c r="C3">
        <f>A3*B3</f>
        <v>180</v>
      </c>
      <c r="D3">
        <v>25.17</v>
      </c>
      <c r="E3">
        <v>6.68</v>
      </c>
      <c r="F3">
        <f>D3*E3</f>
        <v>168.13560000000001</v>
      </c>
      <c r="G3">
        <f>D3/E3</f>
        <v>3.7679640718562877</v>
      </c>
      <c r="H3">
        <v>38.478245000000001</v>
      </c>
      <c r="I3">
        <v>9.8528520000000004</v>
      </c>
      <c r="J3">
        <v>25.582467999999999</v>
      </c>
      <c r="K3">
        <v>6.5507220000000004</v>
      </c>
      <c r="L3">
        <f>J3/K3</f>
        <v>3.9052898291211253</v>
      </c>
      <c r="M3">
        <f>ABS(J3-D3)/D3*100</f>
        <v>1.6387286452125425</v>
      </c>
      <c r="N3">
        <f>ABS(K3-E3)/E3*100</f>
        <v>1.935299401197595</v>
      </c>
      <c r="O3">
        <f t="shared" ref="O3" si="2">(ABS(L3-G3)/G3)*100</f>
        <v>3.6445612178351823</v>
      </c>
      <c r="P3">
        <f t="shared" ref="P3" si="3">(F3/C3)*100</f>
        <v>93.408666666666676</v>
      </c>
    </row>
    <row r="4" spans="1:16" x14ac:dyDescent="0.25">
      <c r="A4">
        <v>60</v>
      </c>
      <c r="B4">
        <v>3.09</v>
      </c>
      <c r="C4">
        <f t="shared" ref="C4:C16" si="4">A2*B4</f>
        <v>185.39999999999998</v>
      </c>
      <c r="D4">
        <v>26.24</v>
      </c>
      <c r="E4">
        <v>6.64</v>
      </c>
      <c r="F4">
        <f>D4*E4</f>
        <v>174.23359999999997</v>
      </c>
      <c r="G4">
        <f>D4/E4</f>
        <v>3.9518072289156625</v>
      </c>
      <c r="H4">
        <v>38.480353999999998</v>
      </c>
      <c r="I4">
        <v>9.3959589999999995</v>
      </c>
      <c r="J4">
        <v>26.636724000000001</v>
      </c>
      <c r="K4">
        <v>6.504035</v>
      </c>
      <c r="L4">
        <f>J4/K4</f>
        <v>4.0954152306990972</v>
      </c>
      <c r="M4">
        <f t="shared" ref="M4:M19" si="5">ABS(J4-D4)/D4*100</f>
        <v>1.5119054878048879</v>
      </c>
      <c r="N4">
        <f t="shared" ref="N4:N19" si="6">ABS(K4-E4)/E4*100</f>
        <v>2.0476656626505974</v>
      </c>
      <c r="O4">
        <f t="shared" si="0"/>
        <v>3.6339829719588659</v>
      </c>
      <c r="P4">
        <f t="shared" si="1"/>
        <v>93.977130528586841</v>
      </c>
    </row>
    <row r="5" spans="1:16" x14ac:dyDescent="0.25">
      <c r="A5">
        <v>60</v>
      </c>
      <c r="B5">
        <v>3.14</v>
      </c>
      <c r="C5">
        <f t="shared" si="4"/>
        <v>188.4</v>
      </c>
      <c r="D5">
        <v>27.37</v>
      </c>
      <c r="E5" s="3">
        <v>6.53</v>
      </c>
      <c r="F5">
        <f>D5*E5</f>
        <v>178.7261</v>
      </c>
      <c r="G5">
        <f>D5/E5</f>
        <v>4.1914241960183771</v>
      </c>
      <c r="H5">
        <v>38.482475000000001</v>
      </c>
      <c r="I5">
        <v>8.9081689999999991</v>
      </c>
      <c r="J5">
        <v>27.760311000000002</v>
      </c>
      <c r="K5">
        <v>6.4261340000000002</v>
      </c>
      <c r="L5">
        <f t="shared" ref="L5:L15" si="7">J5/K5</f>
        <v>4.3199085173138316</v>
      </c>
      <c r="M5">
        <f t="shared" si="5"/>
        <v>1.4260540738034364</v>
      </c>
      <c r="N5">
        <f t="shared" si="6"/>
        <v>1.5905972434915774</v>
      </c>
      <c r="O5">
        <f t="shared" si="0"/>
        <v>3.0654096385068241</v>
      </c>
      <c r="P5">
        <f t="shared" si="1"/>
        <v>94.865233545647556</v>
      </c>
    </row>
    <row r="6" spans="1:16" x14ac:dyDescent="0.25">
      <c r="A6">
        <v>60</v>
      </c>
      <c r="B6">
        <v>3.21</v>
      </c>
      <c r="C6">
        <f t="shared" si="4"/>
        <v>192.6</v>
      </c>
      <c r="D6">
        <v>28.15</v>
      </c>
      <c r="E6" s="3">
        <v>6.45</v>
      </c>
      <c r="F6">
        <f>D6*E6</f>
        <v>181.5675</v>
      </c>
      <c r="G6">
        <f>D6/E6</f>
        <v>4.3643410852713176</v>
      </c>
      <c r="H6">
        <v>38.480614000000003</v>
      </c>
      <c r="I6">
        <v>8.5700520000000004</v>
      </c>
      <c r="J6">
        <v>28.505875</v>
      </c>
      <c r="K6">
        <v>6.3485690000000004</v>
      </c>
      <c r="L6">
        <f t="shared" ref="L6" si="8">J6/K6</f>
        <v>4.4901260425774687</v>
      </c>
      <c r="M6">
        <f t="shared" si="5"/>
        <v>1.2642095914742488</v>
      </c>
      <c r="N6">
        <f t="shared" si="6"/>
        <v>1.5725736434108499</v>
      </c>
      <c r="O6">
        <f t="shared" si="0"/>
        <v>2.8821064817928059</v>
      </c>
      <c r="P6">
        <f t="shared" si="1"/>
        <v>94.271806853582547</v>
      </c>
    </row>
    <row r="7" spans="1:16" x14ac:dyDescent="0.25">
      <c r="A7">
        <v>60</v>
      </c>
      <c r="B7">
        <v>3.26</v>
      </c>
      <c r="C7">
        <f t="shared" si="4"/>
        <v>195.6</v>
      </c>
      <c r="D7">
        <v>29.03</v>
      </c>
      <c r="E7">
        <v>6.38</v>
      </c>
      <c r="F7">
        <f t="shared" ref="F7" si="9">D7*E7</f>
        <v>185.2114</v>
      </c>
      <c r="G7">
        <f t="shared" ref="G7" si="10">D7/E7</f>
        <v>4.5501567398119125</v>
      </c>
      <c r="H7">
        <v>38.481715999999999</v>
      </c>
      <c r="I7">
        <v>8.1495789999999992</v>
      </c>
      <c r="J7">
        <v>29.370398999999999</v>
      </c>
      <c r="K7">
        <v>6.2200030000000002</v>
      </c>
      <c r="L7">
        <f t="shared" si="7"/>
        <v>4.7219268222217901</v>
      </c>
      <c r="M7">
        <f t="shared" si="5"/>
        <v>1.1725766448501478</v>
      </c>
      <c r="N7">
        <f t="shared" si="6"/>
        <v>2.5077899686520335</v>
      </c>
      <c r="O7">
        <f t="shared" si="0"/>
        <v>3.7750366027386115</v>
      </c>
      <c r="P7">
        <f t="shared" si="1"/>
        <v>94.688854805725981</v>
      </c>
    </row>
    <row r="8" spans="1:16" x14ac:dyDescent="0.25">
      <c r="A8">
        <v>60</v>
      </c>
      <c r="B8">
        <v>3.23</v>
      </c>
      <c r="C8">
        <f t="shared" si="4"/>
        <v>193.8</v>
      </c>
      <c r="D8">
        <v>29.57</v>
      </c>
      <c r="E8">
        <v>6.22</v>
      </c>
      <c r="F8">
        <f>D8*E8</f>
        <v>183.9254</v>
      </c>
      <c r="G8">
        <f t="shared" ref="G8:G12" si="11">D8/E8</f>
        <v>4.754019292604502</v>
      </c>
      <c r="H8">
        <v>38.484969999999997</v>
      </c>
      <c r="I8">
        <v>7.8853330000000001</v>
      </c>
      <c r="J8">
        <v>29.870871000000001</v>
      </c>
      <c r="K8">
        <v>6.1203570000000003</v>
      </c>
      <c r="L8">
        <f t="shared" si="7"/>
        <v>4.8805765742096421</v>
      </c>
      <c r="M8">
        <f t="shared" si="5"/>
        <v>1.0174873182279363</v>
      </c>
      <c r="N8">
        <f t="shared" si="6"/>
        <v>1.6019774919614065</v>
      </c>
      <c r="O8">
        <f t="shared" si="0"/>
        <v>2.6621112329522205</v>
      </c>
      <c r="P8">
        <f t="shared" si="1"/>
        <v>94.904747162022701</v>
      </c>
    </row>
    <row r="9" spans="1:16" x14ac:dyDescent="0.25">
      <c r="A9">
        <v>60</v>
      </c>
      <c r="B9">
        <v>3.24</v>
      </c>
      <c r="C9">
        <f t="shared" ref="C9" si="12">A7*B9</f>
        <v>194.4</v>
      </c>
      <c r="D9">
        <v>30.11</v>
      </c>
      <c r="E9">
        <v>6.13</v>
      </c>
      <c r="F9">
        <f>D9*E9</f>
        <v>184.57429999999999</v>
      </c>
      <c r="G9">
        <f t="shared" ref="G9" si="13">D9/E9</f>
        <v>4.9119086460032628</v>
      </c>
      <c r="H9">
        <v>38.479599</v>
      </c>
      <c r="I9">
        <v>7.5884410000000004</v>
      </c>
      <c r="J9">
        <v>30.389585</v>
      </c>
      <c r="K9">
        <v>5.9930339999999998</v>
      </c>
      <c r="L9">
        <f t="shared" ref="L9" si="14">J9/K9</f>
        <v>5.0708180530929745</v>
      </c>
      <c r="M9">
        <f t="shared" ref="M9" si="15">ABS(J9-D9)/D9*100</f>
        <v>0.928545333776157</v>
      </c>
      <c r="N9">
        <f t="shared" ref="N9" si="16">ABS(K9-E9)/E9*100</f>
        <v>2.2343556280587302</v>
      </c>
      <c r="O9">
        <f t="shared" ref="O9" si="17">(ABS(L9-G9)/G9)*100</f>
        <v>3.2351865342408921</v>
      </c>
      <c r="P9">
        <f t="shared" ref="P9" si="18">(F9/C9)*100</f>
        <v>94.945627572016463</v>
      </c>
    </row>
    <row r="10" spans="1:16" x14ac:dyDescent="0.25">
      <c r="A10">
        <v>60</v>
      </c>
      <c r="B10">
        <v>3.2</v>
      </c>
      <c r="C10">
        <f t="shared" si="4"/>
        <v>192</v>
      </c>
      <c r="D10">
        <v>30.66</v>
      </c>
      <c r="E10">
        <v>5.94</v>
      </c>
      <c r="F10">
        <f>D10*E10</f>
        <v>182.12040000000002</v>
      </c>
      <c r="G10">
        <f>D10/E10</f>
        <v>5.1616161616161609</v>
      </c>
      <c r="H10">
        <v>38.486075999999997</v>
      </c>
      <c r="I10">
        <v>7.2639329999999998</v>
      </c>
      <c r="J10">
        <v>30.910388999999999</v>
      </c>
      <c r="K10">
        <v>5.8340839999999998</v>
      </c>
      <c r="L10">
        <f>J10/K10</f>
        <v>5.2982420205125607</v>
      </c>
      <c r="M10">
        <f>ABS(J10-D10)/D10*100</f>
        <v>0.81666340508805746</v>
      </c>
      <c r="N10">
        <f t="shared" si="6"/>
        <v>1.7830976430976524</v>
      </c>
      <c r="O10">
        <f t="shared" si="0"/>
        <v>2.646958910125945</v>
      </c>
      <c r="P10">
        <f t="shared" si="1"/>
        <v>94.854375000000019</v>
      </c>
    </row>
    <row r="11" spans="1:16" x14ac:dyDescent="0.25">
      <c r="A11">
        <v>60</v>
      </c>
      <c r="B11">
        <v>3.14</v>
      </c>
      <c r="C11">
        <f t="shared" si="4"/>
        <v>188.4</v>
      </c>
      <c r="D11">
        <v>31.28</v>
      </c>
      <c r="E11">
        <v>5.73</v>
      </c>
      <c r="F11">
        <f>D11*E11</f>
        <v>179.23440000000002</v>
      </c>
      <c r="G11">
        <f t="shared" si="11"/>
        <v>5.4589877835951128</v>
      </c>
      <c r="H11">
        <v>38.486243999999999</v>
      </c>
      <c r="I11">
        <v>6.8533670000000004</v>
      </c>
      <c r="J11">
        <v>31.497862000000001</v>
      </c>
      <c r="K11">
        <v>5.6089229999999999</v>
      </c>
      <c r="L11">
        <f t="shared" si="7"/>
        <v>5.6156702454285794</v>
      </c>
      <c r="M11">
        <f t="shared" si="5"/>
        <v>0.69648976982097255</v>
      </c>
      <c r="N11">
        <f t="shared" si="6"/>
        <v>2.1130366492146688</v>
      </c>
      <c r="O11">
        <f t="shared" si="0"/>
        <v>2.8701742528956635</v>
      </c>
      <c r="P11">
        <f t="shared" si="1"/>
        <v>95.13503184713376</v>
      </c>
    </row>
    <row r="12" spans="1:16" x14ac:dyDescent="0.25">
      <c r="A12">
        <v>60</v>
      </c>
      <c r="B12">
        <v>3.03</v>
      </c>
      <c r="C12">
        <f t="shared" si="4"/>
        <v>181.79999999999998</v>
      </c>
      <c r="D12">
        <v>31.89</v>
      </c>
      <c r="E12">
        <v>5.43</v>
      </c>
      <c r="F12">
        <f>D12*E12</f>
        <v>173.1627</v>
      </c>
      <c r="G12">
        <f t="shared" si="11"/>
        <v>5.8729281767955808</v>
      </c>
      <c r="H12">
        <v>38.480269999999997</v>
      </c>
      <c r="I12">
        <v>6.3953139999999999</v>
      </c>
      <c r="J12">
        <v>32.049357999999998</v>
      </c>
      <c r="K12">
        <v>5.3265140000000004</v>
      </c>
      <c r="L12">
        <f t="shared" si="7"/>
        <v>6.0169480451942858</v>
      </c>
      <c r="M12">
        <f t="shared" si="5"/>
        <v>0.49971150830980698</v>
      </c>
      <c r="N12">
        <f t="shared" si="6"/>
        <v>1.9058195211786244</v>
      </c>
      <c r="O12">
        <f t="shared" si="0"/>
        <v>2.4522668090466238</v>
      </c>
      <c r="P12">
        <f t="shared" si="1"/>
        <v>95.249009900990117</v>
      </c>
    </row>
    <row r="13" spans="1:16" x14ac:dyDescent="0.25">
      <c r="A13">
        <v>60</v>
      </c>
      <c r="B13">
        <v>2.96</v>
      </c>
      <c r="C13">
        <f t="shared" si="4"/>
        <v>177.6</v>
      </c>
      <c r="D13">
        <v>32.24</v>
      </c>
      <c r="E13">
        <v>5.25</v>
      </c>
      <c r="F13">
        <f t="shared" ref="F13:F14" si="19">D13*E13</f>
        <v>169.26000000000002</v>
      </c>
      <c r="G13">
        <f>D13/E13</f>
        <v>6.1409523809523812</v>
      </c>
      <c r="H13">
        <v>38.480522000000001</v>
      </c>
      <c r="I13">
        <v>6.1307859999999996</v>
      </c>
      <c r="J13">
        <v>32.373322000000002</v>
      </c>
      <c r="K13">
        <v>5.1577760000000001</v>
      </c>
      <c r="L13">
        <f t="shared" si="7"/>
        <v>6.276604877761268</v>
      </c>
      <c r="M13">
        <f t="shared" si="5"/>
        <v>0.41352977667493712</v>
      </c>
      <c r="N13">
        <f t="shared" si="6"/>
        <v>1.7566476190476163</v>
      </c>
      <c r="O13">
        <f t="shared" si="0"/>
        <v>2.2089814151571208</v>
      </c>
      <c r="P13">
        <f t="shared" si="1"/>
        <v>95.304054054054063</v>
      </c>
    </row>
    <row r="14" spans="1:16" x14ac:dyDescent="0.25">
      <c r="A14">
        <v>60</v>
      </c>
      <c r="B14">
        <v>2.87</v>
      </c>
      <c r="C14">
        <f t="shared" si="4"/>
        <v>172.20000000000002</v>
      </c>
      <c r="D14">
        <v>32.54</v>
      </c>
      <c r="E14">
        <v>5.04</v>
      </c>
      <c r="F14">
        <f t="shared" si="19"/>
        <v>164.0016</v>
      </c>
      <c r="G14">
        <f>D14/E14</f>
        <v>6.4563492063492065</v>
      </c>
      <c r="H14">
        <v>38.482475000000001</v>
      </c>
      <c r="I14">
        <v>5.8488429999999996</v>
      </c>
      <c r="J14">
        <v>32.652031000000001</v>
      </c>
      <c r="K14">
        <v>4.9626900000000003</v>
      </c>
      <c r="L14">
        <f t="shared" si="7"/>
        <v>6.5795024472614649</v>
      </c>
      <c r="M14">
        <f t="shared" si="5"/>
        <v>0.34428703134604111</v>
      </c>
      <c r="N14">
        <f t="shared" si="6"/>
        <v>1.5339285714285669</v>
      </c>
      <c r="O14">
        <f t="shared" si="0"/>
        <v>1.9074749053404501</v>
      </c>
      <c r="P14">
        <f t="shared" si="1"/>
        <v>95.239024390243884</v>
      </c>
    </row>
    <row r="15" spans="1:16" x14ac:dyDescent="0.25">
      <c r="A15">
        <v>60</v>
      </c>
      <c r="B15">
        <v>2.74</v>
      </c>
      <c r="C15">
        <f t="shared" si="4"/>
        <v>164.4</v>
      </c>
      <c r="D15">
        <v>33.01</v>
      </c>
      <c r="E15">
        <v>4.72</v>
      </c>
      <c r="F15">
        <f t="shared" ref="F15" si="20">D15*E15</f>
        <v>155.80719999999999</v>
      </c>
      <c r="G15">
        <f>D15/E15</f>
        <v>6.9936440677966099</v>
      </c>
      <c r="H15">
        <v>38.482391</v>
      </c>
      <c r="I15">
        <v>5.4357879999999996</v>
      </c>
      <c r="J15">
        <v>33.04081</v>
      </c>
      <c r="K15">
        <v>4.6671430000000003</v>
      </c>
      <c r="L15">
        <f t="shared" si="7"/>
        <v>7.0794509617554038</v>
      </c>
      <c r="M15">
        <f t="shared" si="5"/>
        <v>9.3335352923363965E-2</v>
      </c>
      <c r="N15">
        <f t="shared" si="6"/>
        <v>1.1198516949152435</v>
      </c>
      <c r="O15">
        <f t="shared" si="0"/>
        <v>1.226926808498962</v>
      </c>
      <c r="P15">
        <f t="shared" si="1"/>
        <v>94.773236009732358</v>
      </c>
    </row>
    <row r="16" spans="1:16" x14ac:dyDescent="0.25">
      <c r="A16">
        <v>60</v>
      </c>
      <c r="B16">
        <v>2.5499999999999998</v>
      </c>
      <c r="C16">
        <f t="shared" si="4"/>
        <v>153</v>
      </c>
      <c r="D16">
        <v>33.56</v>
      </c>
      <c r="E16">
        <v>4.34</v>
      </c>
      <c r="F16">
        <f>D16*E16</f>
        <v>145.65040000000002</v>
      </c>
      <c r="G16">
        <f t="shared" ref="G16:G19" si="21">D16/E16</f>
        <v>7.7327188940092171</v>
      </c>
      <c r="H16">
        <v>38.482742000000002</v>
      </c>
      <c r="I16">
        <v>4.8881009999999998</v>
      </c>
      <c r="J16">
        <v>33.570869000000002</v>
      </c>
      <c r="K16">
        <v>4.2641920000000004</v>
      </c>
      <c r="L16">
        <f t="shared" ref="L16:L19" si="22">J16/K16</f>
        <v>7.8727386102689554</v>
      </c>
      <c r="M16">
        <f t="shared" si="5"/>
        <v>3.2386769964241877E-2</v>
      </c>
      <c r="N16">
        <f t="shared" si="6"/>
        <v>1.7467281105990651</v>
      </c>
      <c r="O16">
        <f t="shared" si="0"/>
        <v>1.8107436488893451</v>
      </c>
      <c r="P16">
        <f t="shared" si="1"/>
        <v>95.196339869281061</v>
      </c>
    </row>
    <row r="17" spans="1:16" x14ac:dyDescent="0.25">
      <c r="A17">
        <v>60</v>
      </c>
      <c r="B17">
        <v>1.98</v>
      </c>
      <c r="C17">
        <f t="shared" ref="C17:C19" si="23">A15*B17</f>
        <v>118.8</v>
      </c>
      <c r="D17">
        <v>34.44</v>
      </c>
      <c r="E17">
        <v>3.24</v>
      </c>
      <c r="F17">
        <f t="shared" ref="F17:F19" si="24">D17*E17</f>
        <v>111.5856</v>
      </c>
      <c r="G17">
        <f t="shared" si="21"/>
        <v>10.629629629629628</v>
      </c>
      <c r="H17">
        <v>38.969883000000003</v>
      </c>
      <c r="I17">
        <v>3.5966900000000002</v>
      </c>
      <c r="J17">
        <v>34.342472000000001</v>
      </c>
      <c r="K17">
        <v>3.1696070000000001</v>
      </c>
      <c r="L17">
        <f t="shared" si="22"/>
        <v>10.834930639666053</v>
      </c>
      <c r="M17">
        <f t="shared" si="5"/>
        <v>0.28318234610916654</v>
      </c>
      <c r="N17">
        <f t="shared" si="6"/>
        <v>2.1726234567901277</v>
      </c>
      <c r="O17">
        <f t="shared" si="0"/>
        <v>1.9314032303078352</v>
      </c>
      <c r="P17">
        <f t="shared" si="1"/>
        <v>93.927272727272722</v>
      </c>
    </row>
    <row r="18" spans="1:16" x14ac:dyDescent="0.25">
      <c r="A18">
        <v>60</v>
      </c>
      <c r="B18">
        <v>1.26</v>
      </c>
      <c r="C18">
        <f t="shared" si="23"/>
        <v>75.599999999999994</v>
      </c>
      <c r="D18">
        <v>35.340000000000003</v>
      </c>
      <c r="E18">
        <v>1.97</v>
      </c>
      <c r="F18">
        <f t="shared" si="24"/>
        <v>69.619800000000012</v>
      </c>
      <c r="G18">
        <f t="shared" si="21"/>
        <v>17.939086294416246</v>
      </c>
      <c r="H18">
        <v>38.486595000000001</v>
      </c>
      <c r="I18">
        <v>2.1878790000000001</v>
      </c>
      <c r="J18">
        <v>35.130130999999999</v>
      </c>
      <c r="K18">
        <v>1.997071</v>
      </c>
      <c r="L18">
        <f t="shared" si="22"/>
        <v>17.590827266531836</v>
      </c>
      <c r="M18">
        <f t="shared" si="5"/>
        <v>0.59385681946803826</v>
      </c>
      <c r="N18">
        <f t="shared" si="6"/>
        <v>1.3741624365482268</v>
      </c>
      <c r="O18">
        <f t="shared" si="0"/>
        <v>1.9413420626267335</v>
      </c>
      <c r="P18">
        <f t="shared" si="1"/>
        <v>92.089682539682556</v>
      </c>
    </row>
    <row r="19" spans="1:16" x14ac:dyDescent="0.25">
      <c r="A19">
        <v>60</v>
      </c>
      <c r="B19">
        <v>0.16</v>
      </c>
      <c r="C19">
        <f t="shared" si="23"/>
        <v>9.6</v>
      </c>
      <c r="D19">
        <v>36.700000000000003</v>
      </c>
      <c r="E19">
        <v>0.08</v>
      </c>
      <c r="F19">
        <f t="shared" si="24"/>
        <v>2.9360000000000004</v>
      </c>
      <c r="G19">
        <f t="shared" si="21"/>
        <v>458.75</v>
      </c>
      <c r="H19">
        <v>38.511208000000003</v>
      </c>
      <c r="I19">
        <v>0.26121299999999997</v>
      </c>
      <c r="J19">
        <v>36.306252000000001</v>
      </c>
      <c r="K19">
        <v>0.246257</v>
      </c>
      <c r="L19">
        <f t="shared" si="22"/>
        <v>147.43236537438528</v>
      </c>
      <c r="M19">
        <f t="shared" si="5"/>
        <v>1.0728828337874718</v>
      </c>
      <c r="N19">
        <f t="shared" si="6"/>
        <v>207.82124999999999</v>
      </c>
      <c r="O19">
        <f t="shared" si="0"/>
        <v>67.862154686782489</v>
      </c>
      <c r="P19">
        <f t="shared" si="1"/>
        <v>30.583333333333339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2026-01-29T17:31:46Z</dcterms:modified>
</cp:coreProperties>
</file>