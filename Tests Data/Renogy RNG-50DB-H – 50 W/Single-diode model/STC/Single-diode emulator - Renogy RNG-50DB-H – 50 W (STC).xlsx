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Renogy RNG-50DB-H – 50 W\Single-diode model\STC\"/>
    </mc:Choice>
  </mc:AlternateContent>
  <xr:revisionPtr revIDLastSave="0" documentId="13_ncr:1_{86945922-A918-4907-8AA9-A10DE175FAB7}" xr6:coauthVersionLast="47" xr6:coauthVersionMax="47" xr10:uidLastSave="{00000000-0000-0000-0000-000000000000}"/>
  <bookViews>
    <workbookView xWindow="32535" yWindow="0" windowWidth="16860" windowHeight="15585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G15" i="1"/>
  <c r="G13" i="1"/>
  <c r="C17" i="1"/>
  <c r="F17" i="1"/>
  <c r="G17" i="1"/>
  <c r="L17" i="1"/>
  <c r="C18" i="1"/>
  <c r="F18" i="1"/>
  <c r="G18" i="1"/>
  <c r="L18" i="1"/>
  <c r="L16" i="1"/>
  <c r="G16" i="1"/>
  <c r="F16" i="1"/>
  <c r="C16" i="1"/>
  <c r="G12" i="1"/>
  <c r="L9" i="1"/>
  <c r="G9" i="1"/>
  <c r="F9" i="1"/>
  <c r="C9" i="1"/>
  <c r="L6" i="1"/>
  <c r="G6" i="1"/>
  <c r="F6" i="1"/>
  <c r="C6" i="1"/>
  <c r="L2" i="1"/>
  <c r="G2" i="1"/>
  <c r="F2" i="1"/>
  <c r="C2" i="1"/>
  <c r="C3" i="1"/>
  <c r="L3" i="1"/>
  <c r="G3" i="1"/>
  <c r="F3" i="1"/>
  <c r="L5" i="1"/>
  <c r="L7" i="1"/>
  <c r="L8" i="1"/>
  <c r="L10" i="1"/>
  <c r="L11" i="1"/>
  <c r="L12" i="1"/>
  <c r="L13" i="1"/>
  <c r="L14" i="1"/>
  <c r="L15" i="1"/>
  <c r="L4" i="1"/>
  <c r="C15" i="1"/>
  <c r="F15" i="1"/>
  <c r="G14" i="1"/>
  <c r="F14" i="1"/>
  <c r="C14" i="1"/>
  <c r="G4" i="1"/>
  <c r="C4" i="1"/>
  <c r="F5" i="1"/>
  <c r="G5" i="1"/>
  <c r="F7" i="1"/>
  <c r="G7" i="1"/>
  <c r="F8" i="1"/>
  <c r="G8" i="1"/>
  <c r="F10" i="1"/>
  <c r="G10" i="1"/>
  <c r="F11" i="1"/>
  <c r="G11" i="1"/>
  <c r="F12" i="1"/>
  <c r="F13" i="1"/>
  <c r="C7" i="1"/>
  <c r="C5" i="1"/>
  <c r="C8" i="1"/>
  <c r="C11" i="1"/>
  <c r="C12" i="1"/>
  <c r="C10" i="1"/>
  <c r="C13" i="1"/>
  <c r="O18" i="1" l="1"/>
  <c r="P18" i="1"/>
  <c r="O17" i="1"/>
  <c r="P17" i="1"/>
  <c r="O6" i="1"/>
  <c r="O9" i="1"/>
  <c r="P9" i="1"/>
  <c r="P6" i="1"/>
  <c r="O16" i="1"/>
  <c r="P16" i="1"/>
  <c r="O15" i="1"/>
  <c r="O2" i="1"/>
  <c r="P2" i="1"/>
  <c r="O3" i="1"/>
  <c r="P3" i="1"/>
  <c r="P14" i="1"/>
  <c r="P15" i="1"/>
  <c r="O14" i="1"/>
  <c r="O4" i="1"/>
  <c r="P4" i="1"/>
  <c r="P7" i="1"/>
  <c r="O7" i="1"/>
  <c r="O5" i="1"/>
  <c r="P5" i="1"/>
  <c r="O8" i="1"/>
  <c r="P8" i="1"/>
  <c r="P10" i="1"/>
  <c r="O11" i="1"/>
  <c r="P11" i="1"/>
  <c r="O12" i="1"/>
  <c r="P12" i="1"/>
  <c r="O10" i="1"/>
  <c r="P13" i="1"/>
  <c r="O1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<sst xmlns="http://schemas.openxmlformats.org/spreadsheetml/2006/main" count="16" uniqueCount="16">
  <si>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</si>
  <si>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</si>
  <si>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</si>
  <si>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</si>
  <si>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</si>
  <si>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</si>
  <si>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</si>
  <si>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</si>
  <si>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</si>
  <si>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</si>
  <si>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</si>
  <si>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</si>
  <si>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</si>
  <si>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</si>
  <si>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Vs Error (%)</t>
  </si>
  <si>
    <t>Is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</si>
</sst>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18"/>
  <sheetViews>
    <sheetView tabSelected="1" zoomScaleNormal="100" workbookViewId="0">
      <selection activeCell="H18" sqref="H18:L18"/>
    </sheetView>
  </sheetViews>
  <sheetFormatPr defaultColWidth="9.140625" defaultRowHeight="15" x14ac:dyDescent="0.25"/>
  <cols>
    <col min="5" max="5" width="8.5703125" customWidth="1"/>
  </cols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0.31</v>
      </c>
      <c r="C2">
        <f>A2*B2</f>
        <v>18.600000000000001</v>
      </c>
      <c r="D2">
        <v>5.95</v>
      </c>
      <c r="E2">
        <v>2.0499999999999998</v>
      </c>
      <c r="F2">
        <f>D2*E2</f>
        <v>12.1975</v>
      </c>
      <c r="G2">
        <f>D2/E2</f>
        <v>2.9024390243902443</v>
      </c>
      <c r="H2">
        <v>23.424229</v>
      </c>
      <c r="I2">
        <v>11.58681</v>
      </c>
      <c r="J2">
        <v>5.8945309999999997</v>
      </c>
      <c r="K2">
        <v>2.915734</v>
      </c>
      <c r="L2">
        <f>J2/K2</f>
        <v>2.0216285161815173</v>
      </c>
      <c r="M2">
        <f>ABS(J2-D2)/D2*100</f>
        <v>0.93225210084034349</v>
      </c>
      <c r="N2">
        <f>ABS(K2-E2)/E2*100</f>
        <v>42.230926829268306</v>
      </c>
      <c r="O2">
        <f t="shared" ref="O2:O18" si="0">(ABS(L2-G2)/G2)*100</f>
        <v>30.347252803830081</v>
      </c>
      <c r="P2">
        <f t="shared" ref="P2:P18" si="1">(F2/C2)*100</f>
        <v>65.577956989247312</v>
      </c>
    </row>
    <row r="3" spans="1:16" x14ac:dyDescent="0.25">
      <c r="A3">
        <v>60</v>
      </c>
      <c r="B3">
        <v>0.67</v>
      </c>
      <c r="C3">
        <f>A3*B3</f>
        <v>40.200000000000003</v>
      </c>
      <c r="D3">
        <v>11.9</v>
      </c>
      <c r="E3">
        <v>2.78</v>
      </c>
      <c r="F3">
        <f>D3*E3</f>
        <v>33.082000000000001</v>
      </c>
      <c r="G3">
        <f>D3/E3</f>
        <v>4.2805755395683454</v>
      </c>
      <c r="H3">
        <v>23.72953</v>
      </c>
      <c r="I3">
        <v>5.6934110000000002</v>
      </c>
      <c r="J3">
        <v>12.125871</v>
      </c>
      <c r="K3">
        <v>2.9093520000000002</v>
      </c>
      <c r="L3">
        <f>J3/K3</f>
        <v>4.1678940877556236</v>
      </c>
      <c r="M3">
        <f t="shared" ref="M3:M18" si="2">ABS(J3-D3)/D3*100</f>
        <v>1.8980756302520982</v>
      </c>
      <c r="N3">
        <f t="shared" ref="N3:N18" si="3">ABS(K3-E3)/E3*100</f>
        <v>4.6529496402877832</v>
      </c>
      <c r="O3">
        <f t="shared" si="0"/>
        <v>2.6323902188182045</v>
      </c>
      <c r="P3">
        <f t="shared" si="1"/>
        <v>82.293532338308452</v>
      </c>
    </row>
    <row r="4" spans="1:16" x14ac:dyDescent="0.25">
      <c r="A4">
        <v>60</v>
      </c>
      <c r="B4">
        <v>0.77</v>
      </c>
      <c r="C4">
        <f t="shared" ref="C4:C16" si="4">A2*B4</f>
        <v>46.2</v>
      </c>
      <c r="D4">
        <v>13.61</v>
      </c>
      <c r="E4">
        <v>2.86</v>
      </c>
      <c r="F4">
        <f>D4*E4</f>
        <v>38.924599999999998</v>
      </c>
      <c r="G4">
        <f>D4/E4</f>
        <v>4.7587412587412583</v>
      </c>
      <c r="H4">
        <v>23.426763999999999</v>
      </c>
      <c r="I4">
        <v>4.9220090000000001</v>
      </c>
      <c r="J4">
        <v>13.816704</v>
      </c>
      <c r="K4">
        <v>2.902917</v>
      </c>
      <c r="L4">
        <f>J4/K4</f>
        <v>4.7595931953962172</v>
      </c>
      <c r="M4">
        <f t="shared" si="2"/>
        <v>1.5187656135194727</v>
      </c>
      <c r="N4">
        <f t="shared" si="3"/>
        <v>1.5005944055944089</v>
      </c>
      <c r="O4">
        <f t="shared" si="0"/>
        <v>1.7902563065263388E-2</v>
      </c>
      <c r="P4">
        <f t="shared" si="1"/>
        <v>84.252380952380946</v>
      </c>
    </row>
    <row r="5" spans="1:16" x14ac:dyDescent="0.25">
      <c r="A5">
        <v>60</v>
      </c>
      <c r="B5">
        <v>0.87</v>
      </c>
      <c r="C5">
        <f t="shared" si="4"/>
        <v>52.2</v>
      </c>
      <c r="D5">
        <v>15.98</v>
      </c>
      <c r="E5" s="3">
        <v>2.85</v>
      </c>
      <c r="F5">
        <f>D5*E5</f>
        <v>45.542999999999999</v>
      </c>
      <c r="G5">
        <f>D5/E5</f>
        <v>5.6070175438596488</v>
      </c>
      <c r="H5">
        <v>23.424603000000001</v>
      </c>
      <c r="I5">
        <v>4.1703530000000004</v>
      </c>
      <c r="J5">
        <v>16.145973000000001</v>
      </c>
      <c r="K5">
        <v>2.8745159999999998</v>
      </c>
      <c r="L5">
        <f t="shared" ref="L5:L15" si="5">J5/K5</f>
        <v>5.6169362076954874</v>
      </c>
      <c r="M5">
        <f t="shared" si="2"/>
        <v>1.0386295369211578</v>
      </c>
      <c r="N5">
        <f t="shared" si="3"/>
        <v>0.86021052631578099</v>
      </c>
      <c r="O5">
        <f t="shared" si="0"/>
        <v>0.17689732122740959</v>
      </c>
      <c r="P5">
        <f t="shared" si="1"/>
        <v>87.247126436781613</v>
      </c>
    </row>
    <row r="6" spans="1:16" x14ac:dyDescent="0.25">
      <c r="A6">
        <v>60</v>
      </c>
      <c r="B6">
        <v>0.9</v>
      </c>
      <c r="C6">
        <f t="shared" si="4"/>
        <v>54</v>
      </c>
      <c r="D6">
        <v>16.55</v>
      </c>
      <c r="E6" s="3">
        <v>2.84</v>
      </c>
      <c r="F6">
        <f>D6*E6</f>
        <v>47.002000000000002</v>
      </c>
      <c r="G6">
        <f>D6/E6</f>
        <v>5.8274647887323949</v>
      </c>
      <c r="H6">
        <v>23.426394999999999</v>
      </c>
      <c r="I6">
        <v>4.0028629999999996</v>
      </c>
      <c r="J6">
        <v>16.715783999999999</v>
      </c>
      <c r="K6">
        <v>2.8562219999999998</v>
      </c>
      <c r="L6">
        <f t="shared" ref="L6" si="6">J6/K6</f>
        <v>5.8524106319466762</v>
      </c>
      <c r="M6">
        <f t="shared" si="2"/>
        <v>1.0017160120845836</v>
      </c>
      <c r="N6">
        <f t="shared" si="3"/>
        <v>0.57119718309859013</v>
      </c>
      <c r="O6">
        <f t="shared" si="0"/>
        <v>0.42807368416047636</v>
      </c>
      <c r="P6">
        <f t="shared" si="1"/>
        <v>87.040740740740745</v>
      </c>
    </row>
    <row r="7" spans="1:16" x14ac:dyDescent="0.25">
      <c r="A7">
        <v>60</v>
      </c>
      <c r="B7">
        <v>0.91</v>
      </c>
      <c r="C7">
        <f t="shared" si="4"/>
        <v>54.6</v>
      </c>
      <c r="D7">
        <v>17.079999999999998</v>
      </c>
      <c r="E7">
        <v>2.8</v>
      </c>
      <c r="F7">
        <f t="shared" ref="F7" si="7">D7*E7</f>
        <v>47.823999999999991</v>
      </c>
      <c r="G7">
        <f t="shared" ref="G7" si="8">D7/E7</f>
        <v>6.1</v>
      </c>
      <c r="H7">
        <v>23.423584000000002</v>
      </c>
      <c r="I7">
        <v>3.8488560000000001</v>
      </c>
      <c r="J7">
        <v>17.231912999999999</v>
      </c>
      <c r="K7">
        <v>2.8314689999999998</v>
      </c>
      <c r="L7">
        <f t="shared" si="5"/>
        <v>6.0858561403992066</v>
      </c>
      <c r="M7">
        <f t="shared" si="2"/>
        <v>0.88942037470726243</v>
      </c>
      <c r="N7">
        <f t="shared" si="3"/>
        <v>1.1238928571428561</v>
      </c>
      <c r="O7">
        <f t="shared" si="0"/>
        <v>0.23186655083267224</v>
      </c>
      <c r="P7">
        <f t="shared" si="1"/>
        <v>87.589743589743577</v>
      </c>
    </row>
    <row r="8" spans="1:16" x14ac:dyDescent="0.25">
      <c r="A8">
        <v>60</v>
      </c>
      <c r="B8">
        <v>0.92</v>
      </c>
      <c r="C8">
        <f t="shared" si="4"/>
        <v>55.2</v>
      </c>
      <c r="D8">
        <v>17.510000000000002</v>
      </c>
      <c r="E8">
        <v>2.76</v>
      </c>
      <c r="F8">
        <f>D8*E8</f>
        <v>48.327600000000004</v>
      </c>
      <c r="G8">
        <f t="shared" ref="G8:G12" si="9">D8/E8</f>
        <v>6.3442028985507255</v>
      </c>
      <c r="H8">
        <v>23.424973000000001</v>
      </c>
      <c r="I8">
        <v>3.7152159999999999</v>
      </c>
      <c r="J8">
        <v>17.664825</v>
      </c>
      <c r="K8">
        <v>2.8016529999999999</v>
      </c>
      <c r="L8">
        <f t="shared" si="5"/>
        <v>6.3051437847584983</v>
      </c>
      <c r="M8">
        <f t="shared" si="2"/>
        <v>0.8842090234151847</v>
      </c>
      <c r="N8">
        <f t="shared" si="3"/>
        <v>1.5091666666666728</v>
      </c>
      <c r="O8">
        <f t="shared" si="0"/>
        <v>0.61566621397228394</v>
      </c>
      <c r="P8">
        <f t="shared" si="1"/>
        <v>87.550000000000011</v>
      </c>
    </row>
    <row r="9" spans="1:16" x14ac:dyDescent="0.25">
      <c r="A9">
        <v>60</v>
      </c>
      <c r="B9">
        <v>0.93</v>
      </c>
      <c r="C9">
        <f t="shared" si="4"/>
        <v>55.800000000000004</v>
      </c>
      <c r="D9">
        <v>18.05</v>
      </c>
      <c r="E9">
        <v>2.71</v>
      </c>
      <c r="F9">
        <f>D9*E9</f>
        <v>48.915500000000002</v>
      </c>
      <c r="G9">
        <f t="shared" ref="G9" si="10">D9/E9</f>
        <v>6.6605166051660518</v>
      </c>
      <c r="H9">
        <v>23.426898999999999</v>
      </c>
      <c r="I9">
        <v>3.5455830000000002</v>
      </c>
      <c r="J9">
        <v>18.180427999999999</v>
      </c>
      <c r="K9">
        <v>2.751547</v>
      </c>
      <c r="L9">
        <f t="shared" ref="L9" si="11">J9/K9</f>
        <v>6.6073477938047214</v>
      </c>
      <c r="M9">
        <f t="shared" si="2"/>
        <v>0.72259279778392482</v>
      </c>
      <c r="N9">
        <f t="shared" si="3"/>
        <v>1.5330996309963101</v>
      </c>
      <c r="O9">
        <f t="shared" si="0"/>
        <v>0.79826858054961503</v>
      </c>
      <c r="P9">
        <f t="shared" si="1"/>
        <v>87.662186379928315</v>
      </c>
    </row>
    <row r="10" spans="1:16" x14ac:dyDescent="0.25">
      <c r="A10">
        <v>60</v>
      </c>
      <c r="B10">
        <v>0.92</v>
      </c>
      <c r="C10">
        <f t="shared" si="4"/>
        <v>55.2</v>
      </c>
      <c r="D10">
        <v>18.63</v>
      </c>
      <c r="E10">
        <v>2.61</v>
      </c>
      <c r="F10">
        <f>D10*E10</f>
        <v>48.624299999999998</v>
      </c>
      <c r="G10">
        <f>D10/E10</f>
        <v>7.1379310344827589</v>
      </c>
      <c r="H10">
        <v>23.427966999999999</v>
      </c>
      <c r="I10">
        <v>3.3445809999999998</v>
      </c>
      <c r="J10">
        <v>18.727219000000002</v>
      </c>
      <c r="K10">
        <v>2.6735009999999999</v>
      </c>
      <c r="L10">
        <f t="shared" si="5"/>
        <v>7.0047548140060547</v>
      </c>
      <c r="M10">
        <f t="shared" si="2"/>
        <v>0.5218411164788116</v>
      </c>
      <c r="N10">
        <f t="shared" si="3"/>
        <v>2.4329885057471277</v>
      </c>
      <c r="O10">
        <f t="shared" si="0"/>
        <v>1.8657538134417495</v>
      </c>
      <c r="P10">
        <f t="shared" si="1"/>
        <v>88.087499999999991</v>
      </c>
    </row>
    <row r="11" spans="1:16" x14ac:dyDescent="0.25">
      <c r="A11">
        <v>60</v>
      </c>
      <c r="B11">
        <v>0.91</v>
      </c>
      <c r="C11">
        <f t="shared" si="4"/>
        <v>54.6</v>
      </c>
      <c r="D11">
        <v>19.100000000000001</v>
      </c>
      <c r="E11">
        <v>2.5099999999999998</v>
      </c>
      <c r="F11">
        <f>D11*E11</f>
        <v>47.941000000000003</v>
      </c>
      <c r="G11">
        <f t="shared" si="9"/>
        <v>7.609561752988049</v>
      </c>
      <c r="H11">
        <v>23.427264999999998</v>
      </c>
      <c r="I11">
        <v>3.1492900000000001</v>
      </c>
      <c r="J11">
        <v>19.188766000000001</v>
      </c>
      <c r="K11">
        <v>2.5795149999999998</v>
      </c>
      <c r="L11">
        <f t="shared" si="5"/>
        <v>7.4389046002833874</v>
      </c>
      <c r="M11">
        <f t="shared" si="2"/>
        <v>0.46474345549738044</v>
      </c>
      <c r="N11">
        <f t="shared" si="3"/>
        <v>2.7695219123505979</v>
      </c>
      <c r="O11">
        <f t="shared" si="0"/>
        <v>2.2426672947052388</v>
      </c>
      <c r="P11">
        <f t="shared" si="1"/>
        <v>87.804029304029314</v>
      </c>
    </row>
    <row r="12" spans="1:16" x14ac:dyDescent="0.25">
      <c r="A12">
        <v>60</v>
      </c>
      <c r="B12">
        <v>0.92</v>
      </c>
      <c r="C12">
        <f t="shared" si="4"/>
        <v>55.2</v>
      </c>
      <c r="D12">
        <v>19.54</v>
      </c>
      <c r="E12">
        <v>2.48</v>
      </c>
      <c r="F12">
        <f>D12*E12</f>
        <v>48.459199999999996</v>
      </c>
      <c r="G12">
        <f t="shared" si="9"/>
        <v>7.879032258064516</v>
      </c>
      <c r="H12">
        <v>23.427247999999999</v>
      </c>
      <c r="I12">
        <v>2.9393820000000002</v>
      </c>
      <c r="J12">
        <v>19.602093</v>
      </c>
      <c r="K12">
        <v>2.4594450000000001</v>
      </c>
      <c r="L12">
        <f t="shared" si="5"/>
        <v>7.9701286265803866</v>
      </c>
      <c r="M12">
        <f t="shared" si="2"/>
        <v>0.31777379733879657</v>
      </c>
      <c r="N12">
        <f t="shared" si="3"/>
        <v>0.82883064516128557</v>
      </c>
      <c r="O12">
        <f t="shared" si="0"/>
        <v>1.1561872769670367</v>
      </c>
      <c r="P12">
        <f t="shared" si="1"/>
        <v>87.788405797101433</v>
      </c>
    </row>
    <row r="13" spans="1:16" x14ac:dyDescent="0.25">
      <c r="A13">
        <v>60</v>
      </c>
      <c r="B13">
        <v>0.87</v>
      </c>
      <c r="C13">
        <f t="shared" si="4"/>
        <v>52.2</v>
      </c>
      <c r="D13">
        <v>19.91</v>
      </c>
      <c r="E13">
        <v>2.2599999999999998</v>
      </c>
      <c r="F13">
        <f t="shared" ref="F13:F14" si="12">D13*E13</f>
        <v>44.996599999999994</v>
      </c>
      <c r="G13">
        <f>D13/E13</f>
        <v>8.8097345132743374</v>
      </c>
      <c r="H13">
        <v>23.426811000000001</v>
      </c>
      <c r="I13">
        <v>2.7394229999999999</v>
      </c>
      <c r="J13">
        <v>19.970376999999999</v>
      </c>
      <c r="K13">
        <v>2.3352439999999999</v>
      </c>
      <c r="L13">
        <f t="shared" si="5"/>
        <v>8.5517303545154171</v>
      </c>
      <c r="M13">
        <f t="shared" si="2"/>
        <v>0.30324962330486699</v>
      </c>
      <c r="N13">
        <f t="shared" si="3"/>
        <v>3.3293805309734554</v>
      </c>
      <c r="O13">
        <f t="shared" si="0"/>
        <v>2.9286258101213458</v>
      </c>
      <c r="P13">
        <f t="shared" si="1"/>
        <v>86.200383141762444</v>
      </c>
    </row>
    <row r="14" spans="1:16" x14ac:dyDescent="0.25">
      <c r="A14">
        <v>60</v>
      </c>
      <c r="B14">
        <v>0.81</v>
      </c>
      <c r="C14">
        <f t="shared" si="4"/>
        <v>48.6</v>
      </c>
      <c r="D14">
        <v>20.399999999999999</v>
      </c>
      <c r="E14">
        <v>2.0499999999999998</v>
      </c>
      <c r="F14">
        <f t="shared" si="12"/>
        <v>41.819999999999993</v>
      </c>
      <c r="G14">
        <f>D14/E14</f>
        <v>9.9512195121951219</v>
      </c>
      <c r="H14">
        <v>23.426421999999999</v>
      </c>
      <c r="I14">
        <v>2.4182959999999998</v>
      </c>
      <c r="J14">
        <v>20.420041999999999</v>
      </c>
      <c r="K14">
        <v>2.1079490000000001</v>
      </c>
      <c r="L14">
        <f t="shared" si="5"/>
        <v>9.6871613117774658</v>
      </c>
      <c r="M14">
        <f t="shared" si="2"/>
        <v>9.8245098039216258E-2</v>
      </c>
      <c r="N14">
        <f t="shared" si="3"/>
        <v>2.8267804878048906</v>
      </c>
      <c r="O14">
        <f t="shared" si="0"/>
        <v>2.6535260336087996</v>
      </c>
      <c r="P14">
        <f t="shared" si="1"/>
        <v>86.049382716049365</v>
      </c>
    </row>
    <row r="15" spans="1:16" x14ac:dyDescent="0.25">
      <c r="A15">
        <v>60</v>
      </c>
      <c r="B15">
        <v>0.74</v>
      </c>
      <c r="C15">
        <f t="shared" si="4"/>
        <v>44.4</v>
      </c>
      <c r="D15">
        <v>20.77</v>
      </c>
      <c r="E15">
        <v>1.86</v>
      </c>
      <c r="F15">
        <f t="shared" ref="F15" si="13">D15*E15</f>
        <v>38.632200000000005</v>
      </c>
      <c r="G15">
        <f>D15/E15</f>
        <v>11.166666666666666</v>
      </c>
      <c r="H15">
        <v>23.429234000000001</v>
      </c>
      <c r="I15">
        <v>2.159837</v>
      </c>
      <c r="J15">
        <v>20.759868999999998</v>
      </c>
      <c r="K15">
        <v>1.9137599999999999</v>
      </c>
      <c r="L15">
        <f t="shared" si="5"/>
        <v>10.847686752779868</v>
      </c>
      <c r="M15">
        <f t="shared" si="2"/>
        <v>4.8777082330289948E-2</v>
      </c>
      <c r="N15">
        <f t="shared" si="3"/>
        <v>2.8903225806451509</v>
      </c>
      <c r="O15">
        <f t="shared" si="0"/>
        <v>2.8565365422698323</v>
      </c>
      <c r="P15">
        <f t="shared" si="1"/>
        <v>87.009459459459464</v>
      </c>
    </row>
    <row r="16" spans="1:16" x14ac:dyDescent="0.25">
      <c r="A16">
        <v>60</v>
      </c>
      <c r="B16">
        <v>0.54</v>
      </c>
      <c r="C16">
        <f t="shared" si="4"/>
        <v>32.400000000000006</v>
      </c>
      <c r="D16">
        <v>21.31</v>
      </c>
      <c r="E16">
        <v>1.27</v>
      </c>
      <c r="F16">
        <f>D16*E16</f>
        <v>27.063699999999997</v>
      </c>
      <c r="G16">
        <f t="shared" ref="G16:G18" si="14">D16/E16</f>
        <v>16.779527559055119</v>
      </c>
      <c r="H16">
        <v>23.437695000000001</v>
      </c>
      <c r="I16">
        <v>1.5582389999999999</v>
      </c>
      <c r="J16">
        <v>21.242069000000001</v>
      </c>
      <c r="K16">
        <v>1.4122650000000001</v>
      </c>
      <c r="L16">
        <f t="shared" ref="L16:L18" si="15">J16/K16</f>
        <v>15.041135339330792</v>
      </c>
      <c r="M16">
        <f t="shared" si="2"/>
        <v>0.3187752229000374</v>
      </c>
      <c r="N16">
        <f t="shared" si="3"/>
        <v>11.201968503937014</v>
      </c>
      <c r="O16">
        <f t="shared" si="0"/>
        <v>10.360197649225224</v>
      </c>
      <c r="P16">
        <f t="shared" si="1"/>
        <v>83.529938271604919</v>
      </c>
    </row>
    <row r="17" spans="1:16" x14ac:dyDescent="0.25">
      <c r="A17">
        <v>60</v>
      </c>
      <c r="B17">
        <v>0.25</v>
      </c>
      <c r="C17">
        <f t="shared" ref="C17:C18" si="16">A15*B17</f>
        <v>15</v>
      </c>
      <c r="D17">
        <v>22.11</v>
      </c>
      <c r="E17">
        <v>0.42</v>
      </c>
      <c r="F17">
        <f t="shared" ref="F17:F18" si="17">D17*E17</f>
        <v>9.2861999999999991</v>
      </c>
      <c r="G17">
        <f t="shared" si="14"/>
        <v>52.642857142857146</v>
      </c>
      <c r="H17">
        <v>23.447426</v>
      </c>
      <c r="I17">
        <v>0.68671599999999999</v>
      </c>
      <c r="J17">
        <v>21.980999000000001</v>
      </c>
      <c r="K17">
        <v>0.64376800000000001</v>
      </c>
      <c r="L17">
        <f t="shared" si="15"/>
        <v>34.144286451019624</v>
      </c>
      <c r="M17">
        <f t="shared" si="2"/>
        <v>0.5834509271822651</v>
      </c>
      <c r="N17">
        <f t="shared" si="3"/>
        <v>53.278095238095247</v>
      </c>
      <c r="O17">
        <f t="shared" si="0"/>
        <v>35.139754367126905</v>
      </c>
      <c r="P17">
        <f t="shared" si="1"/>
        <v>61.907999999999994</v>
      </c>
    </row>
    <row r="18" spans="1:16" x14ac:dyDescent="0.25">
      <c r="A18">
        <v>60</v>
      </c>
      <c r="B18">
        <v>0.12</v>
      </c>
      <c r="C18">
        <f t="shared" si="16"/>
        <v>7.1999999999999993</v>
      </c>
      <c r="D18">
        <v>22.51</v>
      </c>
      <c r="E18">
        <v>0.05</v>
      </c>
      <c r="F18">
        <f t="shared" si="17"/>
        <v>1.1255000000000002</v>
      </c>
      <c r="G18">
        <f t="shared" si="14"/>
        <v>450.2</v>
      </c>
      <c r="H18">
        <v>23.450655000000001</v>
      </c>
      <c r="I18">
        <v>0.30788100000000002</v>
      </c>
      <c r="J18">
        <v>22.318256000000002</v>
      </c>
      <c r="K18">
        <v>0.293014</v>
      </c>
      <c r="L18">
        <f t="shared" si="15"/>
        <v>76.167882763280943</v>
      </c>
      <c r="M18">
        <f t="shared" si="2"/>
        <v>0.85181697023545055</v>
      </c>
      <c r="N18">
        <f t="shared" si="3"/>
        <v>486.02799999999996</v>
      </c>
      <c r="O18">
        <f t="shared" si="0"/>
        <v>83.081323242274323</v>
      </c>
      <c r="P18">
        <f t="shared" si="1"/>
        <v>15.631944444444448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2026-03-13T18:04:13Z</dcterms:modified>
</cp:coreProperties>
</file>