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Renogy RNG-50DB-H – 50 W\Single-diode model\STC\"/>
    </mc:Choice>
  </mc:AlternateContent>
  <xr:revisionPtr revIDLastSave="0" documentId="13_ncr:1_{B504B214-EF34-456B-958B-974B9AB567CE}" xr6:coauthVersionLast="47" xr6:coauthVersionMax="47" xr10:uidLastSave="{00000000-0000-0000-0000-000000000000}"/>
  <bookViews>
    <workbookView xWindow="20370" yWindow="-120" windowWidth="29040" windowHeight="15720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2" i="1"/>
  <c r="G15" i="1"/>
  <c r="G13" i="1"/>
  <c r="C17" i="1"/>
  <c r="F17" i="1"/>
  <c r="G17" i="1"/>
  <c r="L17" i="1"/>
  <c r="C18" i="1"/>
  <c r="F18" i="1"/>
  <c r="G18" i="1"/>
  <c r="L18" i="1"/>
  <c r="L16" i="1"/>
  <c r="G16" i="1"/>
  <c r="F16" i="1"/>
  <c r="C16" i="1"/>
  <c r="G12" i="1"/>
  <c r="L9" i="1"/>
  <c r="G9" i="1"/>
  <c r="F9" i="1"/>
  <c r="C9" i="1"/>
  <c r="L6" i="1"/>
  <c r="G6" i="1"/>
  <c r="F6" i="1"/>
  <c r="C6" i="1"/>
  <c r="L2" i="1"/>
  <c r="G2" i="1"/>
  <c r="F2" i="1"/>
  <c r="C2" i="1"/>
  <c r="C3" i="1"/>
  <c r="L3" i="1"/>
  <c r="G3" i="1"/>
  <c r="F3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18" i="1" l="1"/>
  <c r="P18" i="1"/>
  <c r="O17" i="1"/>
  <c r="P17" i="1"/>
  <c r="O6" i="1"/>
  <c r="O9" i="1"/>
  <c r="P9" i="1"/>
  <c r="P6" i="1"/>
  <c r="O16" i="1"/>
  <c r="P16" i="1"/>
  <c r="O15" i="1"/>
  <c r="O2" i="1"/>
  <c r="P2" i="1"/>
  <c r="O3" i="1"/>
  <c r="P3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<sst xmlns="http://schemas.openxmlformats.org/spreadsheetml/2006/main" count="16" uniqueCount="16">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</sst>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8"/>
  <sheetViews>
    <sheetView tabSelected="1" zoomScale="160" zoomScaleNormal="160" workbookViewId="0">
      <selection activeCell="H18" sqref="H18:L18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0.32</v>
      </c>
      <c r="C2">
        <f>A2*B2</f>
        <v>19.2</v>
      </c>
      <c r="D2">
        <v>5.0599999999999996</v>
      </c>
      <c r="E2">
        <v>2.44</v>
      </c>
      <c r="F2">
        <f>D2*E2</f>
        <v>12.346399999999999</v>
      </c>
      <c r="G2">
        <f>D2/E2</f>
        <v>2.0737704918032787</v>
      </c>
      <c r="H2">
        <v>22.825958</v>
      </c>
      <c r="I2">
        <v>12.842241</v>
      </c>
      <c r="J2">
        <v>5.1794130000000003</v>
      </c>
      <c r="K2">
        <v>2.9140190000000001</v>
      </c>
      <c r="L2">
        <f>J2/K2</f>
        <v>1.7774122268935104</v>
      </c>
      <c r="M2">
        <f>ABS(J2-D2)/D2*100</f>
        <v>2.359940711462464</v>
      </c>
      <c r="N2">
        <f>ABS(K2-E2)/E2*100</f>
        <v>19.427008196721321</v>
      </c>
      <c r="O2">
        <f t="shared" ref="O2:O18" si="0">(ABS(L2-G2)/G2)*100</f>
        <v>14.290793801973015</v>
      </c>
      <c r="P2">
        <f t="shared" ref="P2:P18" si="1">(F2/C2)*100</f>
        <v>64.30416666666666</v>
      </c>
    </row>
    <row r="3" spans="1:16" x14ac:dyDescent="0.25">
      <c r="A3">
        <v>60</v>
      </c>
      <c r="B3">
        <v>0.66</v>
      </c>
      <c r="C3">
        <f>A3*B3</f>
        <v>39.6</v>
      </c>
      <c r="D3">
        <v>11.15</v>
      </c>
      <c r="E3">
        <v>2.89</v>
      </c>
      <c r="F3">
        <f>D3*E3</f>
        <v>32.223500000000001</v>
      </c>
      <c r="G3">
        <f>D3/E3</f>
        <v>3.8581314878892732</v>
      </c>
      <c r="H3">
        <v>22.825714000000001</v>
      </c>
      <c r="I3">
        <v>5.812697</v>
      </c>
      <c r="J3">
        <v>11.411573000000001</v>
      </c>
      <c r="K3">
        <v>2.9060220000000001</v>
      </c>
      <c r="L3">
        <f>J3/K3</f>
        <v>3.9268708220378237</v>
      </c>
      <c r="M3">
        <f t="shared" ref="M3:M18" si="2">ABS(J3-D3)/D3*100</f>
        <v>2.3459461883408097</v>
      </c>
      <c r="N3">
        <f t="shared" ref="N3:N18" si="3">ABS(K3-E3)/E3*100</f>
        <v>0.55439446366781941</v>
      </c>
      <c r="O3">
        <f t="shared" si="0"/>
        <v>1.7816742214287977</v>
      </c>
      <c r="P3">
        <f t="shared" si="1"/>
        <v>81.37247474747474</v>
      </c>
    </row>
    <row r="4" spans="1:16" x14ac:dyDescent="0.25">
      <c r="A4">
        <v>60</v>
      </c>
      <c r="B4">
        <v>0.83</v>
      </c>
      <c r="C4">
        <f t="shared" ref="C4:C16" si="4">A2*B4</f>
        <v>49.8</v>
      </c>
      <c r="D4">
        <v>14.96</v>
      </c>
      <c r="E4">
        <v>2.84</v>
      </c>
      <c r="F4">
        <f>D4*E4</f>
        <v>42.486400000000003</v>
      </c>
      <c r="G4">
        <f>D4/E4</f>
        <v>5.2676056338028179</v>
      </c>
      <c r="H4">
        <v>22.534130000000001</v>
      </c>
      <c r="I4">
        <v>4.2845079999999998</v>
      </c>
      <c r="J4">
        <v>15.187758000000001</v>
      </c>
      <c r="K4">
        <v>2.8877120000000001</v>
      </c>
      <c r="L4">
        <f>J4/K4</f>
        <v>5.2594434625059563</v>
      </c>
      <c r="M4">
        <f t="shared" si="2"/>
        <v>1.5224465240641689</v>
      </c>
      <c r="N4">
        <f t="shared" si="3"/>
        <v>1.6800000000000073</v>
      </c>
      <c r="O4">
        <f t="shared" si="0"/>
        <v>0.15495031071582152</v>
      </c>
      <c r="P4">
        <f t="shared" si="1"/>
        <v>85.314056224899616</v>
      </c>
    </row>
    <row r="5" spans="1:16" x14ac:dyDescent="0.25">
      <c r="A5">
        <v>60</v>
      </c>
      <c r="B5">
        <v>0.87</v>
      </c>
      <c r="C5">
        <f t="shared" si="4"/>
        <v>52.2</v>
      </c>
      <c r="D5">
        <v>15.97</v>
      </c>
      <c r="E5" s="3">
        <v>2.84</v>
      </c>
      <c r="F5">
        <f>D5*E5</f>
        <v>45.354799999999997</v>
      </c>
      <c r="G5">
        <f>D5/E5</f>
        <v>5.6232394366197189</v>
      </c>
      <c r="H5">
        <v>22.533111999999999</v>
      </c>
      <c r="I5">
        <v>4.0061090000000004</v>
      </c>
      <c r="J5">
        <v>16.149439000000001</v>
      </c>
      <c r="K5">
        <v>2.8711709999999999</v>
      </c>
      <c r="L5">
        <f t="shared" ref="L5:L15" si="5">J5/K5</f>
        <v>5.624687279162405</v>
      </c>
      <c r="M5">
        <f t="shared" si="2"/>
        <v>1.1236005009392633</v>
      </c>
      <c r="N5">
        <f t="shared" si="3"/>
        <v>1.0975704225352134</v>
      </c>
      <c r="O5">
        <f t="shared" si="0"/>
        <v>2.5747481660791188E-2</v>
      </c>
      <c r="P5">
        <f t="shared" si="1"/>
        <v>86.886590038314168</v>
      </c>
    </row>
    <row r="6" spans="1:16" x14ac:dyDescent="0.25">
      <c r="A6">
        <v>60</v>
      </c>
      <c r="B6">
        <v>0.89</v>
      </c>
      <c r="C6">
        <f t="shared" si="4"/>
        <v>53.4</v>
      </c>
      <c r="D6">
        <v>16.440000000000001</v>
      </c>
      <c r="E6" s="3">
        <v>2.82</v>
      </c>
      <c r="F6">
        <f>D6*E6</f>
        <v>46.360799999999998</v>
      </c>
      <c r="G6">
        <f>D6/E6</f>
        <v>5.8297872340425538</v>
      </c>
      <c r="H6">
        <v>22.533306</v>
      </c>
      <c r="I6">
        <v>3.8730920000000002</v>
      </c>
      <c r="J6">
        <v>16.624013999999999</v>
      </c>
      <c r="K6">
        <v>2.8573849999999998</v>
      </c>
      <c r="L6">
        <f t="shared" ref="L6" si="6">J6/K6</f>
        <v>5.81791183197224</v>
      </c>
      <c r="M6">
        <f t="shared" si="2"/>
        <v>1.1193065693430515</v>
      </c>
      <c r="N6">
        <f t="shared" si="3"/>
        <v>1.3257092198581562</v>
      </c>
      <c r="O6">
        <f t="shared" si="0"/>
        <v>0.20370215230100294</v>
      </c>
      <c r="P6">
        <f t="shared" si="1"/>
        <v>86.817977528089884</v>
      </c>
    </row>
    <row r="7" spans="1:16" x14ac:dyDescent="0.25">
      <c r="A7">
        <v>60</v>
      </c>
      <c r="B7">
        <v>0.9</v>
      </c>
      <c r="C7">
        <f t="shared" si="4"/>
        <v>54</v>
      </c>
      <c r="D7">
        <v>17.09</v>
      </c>
      <c r="E7">
        <v>2.74</v>
      </c>
      <c r="F7">
        <f t="shared" ref="F7" si="7">D7*E7</f>
        <v>46.826600000000006</v>
      </c>
      <c r="G7">
        <f t="shared" ref="G7" si="8">D7/E7</f>
        <v>6.2372262773722627</v>
      </c>
      <c r="H7">
        <v>22.532803000000001</v>
      </c>
      <c r="I7">
        <v>3.6949920000000001</v>
      </c>
      <c r="J7">
        <v>17.250757</v>
      </c>
      <c r="K7">
        <v>2.828827</v>
      </c>
      <c r="L7">
        <f t="shared" si="5"/>
        <v>6.0982014806843967</v>
      </c>
      <c r="M7">
        <f t="shared" si="2"/>
        <v>0.94064950263312042</v>
      </c>
      <c r="N7">
        <f t="shared" si="3"/>
        <v>3.2418613138686041</v>
      </c>
      <c r="O7">
        <f t="shared" si="0"/>
        <v>2.2289522698932278</v>
      </c>
      <c r="P7">
        <f t="shared" si="1"/>
        <v>86.715925925925944</v>
      </c>
    </row>
    <row r="8" spans="1:16" x14ac:dyDescent="0.25">
      <c r="A8">
        <v>60</v>
      </c>
      <c r="B8">
        <v>0.92</v>
      </c>
      <c r="C8">
        <f t="shared" si="4"/>
        <v>55.2</v>
      </c>
      <c r="D8">
        <v>17.350000000000001</v>
      </c>
      <c r="E8">
        <v>2.74</v>
      </c>
      <c r="F8">
        <f>D8*E8</f>
        <v>47.539000000000009</v>
      </c>
      <c r="G8">
        <f t="shared" ref="G8:G12" si="9">D8/E8</f>
        <v>6.3321167883211675</v>
      </c>
      <c r="H8">
        <v>22.534594999999999</v>
      </c>
      <c r="I8">
        <v>3.6172719999999998</v>
      </c>
      <c r="J8">
        <v>17.517166</v>
      </c>
      <c r="K8">
        <v>2.8118699999999999</v>
      </c>
      <c r="L8">
        <f t="shared" si="5"/>
        <v>6.2297211464256881</v>
      </c>
      <c r="M8">
        <f t="shared" si="2"/>
        <v>0.96349279538903831</v>
      </c>
      <c r="N8">
        <f t="shared" si="3"/>
        <v>2.6229927007299145</v>
      </c>
      <c r="O8">
        <f t="shared" si="0"/>
        <v>1.6170839123551222</v>
      </c>
      <c r="P8">
        <f t="shared" si="1"/>
        <v>86.121376811594217</v>
      </c>
    </row>
    <row r="9" spans="1:16" x14ac:dyDescent="0.25">
      <c r="A9">
        <v>60</v>
      </c>
      <c r="B9">
        <v>0.95</v>
      </c>
      <c r="C9">
        <f t="shared" si="4"/>
        <v>57</v>
      </c>
      <c r="D9">
        <v>17.760000000000002</v>
      </c>
      <c r="E9">
        <v>2.8</v>
      </c>
      <c r="F9">
        <f>D9*E9</f>
        <v>49.728000000000002</v>
      </c>
      <c r="G9">
        <f t="shared" ref="G9" si="10">D9/E9</f>
        <v>6.3428571428571434</v>
      </c>
      <c r="H9">
        <v>22.531389000000001</v>
      </c>
      <c r="I9">
        <v>3.4912100000000001</v>
      </c>
      <c r="J9">
        <v>17.929047000000001</v>
      </c>
      <c r="K9">
        <v>2.7780830000000001</v>
      </c>
      <c r="L9">
        <f t="shared" ref="L9" si="11">J9/K9</f>
        <v>6.4537477821936928</v>
      </c>
      <c r="M9">
        <f t="shared" si="2"/>
        <v>0.95184121621621087</v>
      </c>
      <c r="N9">
        <f t="shared" si="3"/>
        <v>0.78274999999999095</v>
      </c>
      <c r="O9">
        <f t="shared" si="0"/>
        <v>1.7482758453960492</v>
      </c>
      <c r="P9">
        <f t="shared" si="1"/>
        <v>87.242105263157896</v>
      </c>
    </row>
    <row r="10" spans="1:16" x14ac:dyDescent="0.25">
      <c r="A10">
        <v>60</v>
      </c>
      <c r="B10">
        <v>0.92</v>
      </c>
      <c r="C10">
        <f t="shared" si="4"/>
        <v>55.2</v>
      </c>
      <c r="D10">
        <v>18.34</v>
      </c>
      <c r="E10">
        <v>2.64</v>
      </c>
      <c r="F10">
        <f>D10*E10</f>
        <v>48.4176</v>
      </c>
      <c r="G10">
        <f>D10/E10</f>
        <v>6.9469696969696964</v>
      </c>
      <c r="H10">
        <v>22.532783999999999</v>
      </c>
      <c r="I10">
        <v>3.3135530000000002</v>
      </c>
      <c r="J10">
        <v>18.462983999999999</v>
      </c>
      <c r="K10">
        <v>2.7150699999999999</v>
      </c>
      <c r="L10">
        <f t="shared" si="5"/>
        <v>6.8001871038315773</v>
      </c>
      <c r="M10">
        <f t="shared" si="2"/>
        <v>0.67057797164666777</v>
      </c>
      <c r="N10">
        <f t="shared" si="3"/>
        <v>2.8435606060605965</v>
      </c>
      <c r="O10">
        <f t="shared" si="0"/>
        <v>2.1129010135476243</v>
      </c>
      <c r="P10">
        <f t="shared" si="1"/>
        <v>87.713043478260872</v>
      </c>
    </row>
    <row r="11" spans="1:16" x14ac:dyDescent="0.25">
      <c r="A11">
        <v>60</v>
      </c>
      <c r="B11">
        <v>0.93</v>
      </c>
      <c r="C11">
        <f t="shared" si="4"/>
        <v>55.800000000000004</v>
      </c>
      <c r="D11">
        <v>18.579999999999998</v>
      </c>
      <c r="E11">
        <v>2.62</v>
      </c>
      <c r="F11">
        <f>D11*E11</f>
        <v>48.679600000000001</v>
      </c>
      <c r="G11">
        <f t="shared" si="9"/>
        <v>7.0916030534351133</v>
      </c>
      <c r="H11">
        <v>22.532482000000002</v>
      </c>
      <c r="I11">
        <v>3.2184379999999999</v>
      </c>
      <c r="J11">
        <v>18.722518999999998</v>
      </c>
      <c r="K11">
        <v>2.6742400000000002</v>
      </c>
      <c r="L11">
        <f t="shared" si="5"/>
        <v>7.0010616100275209</v>
      </c>
      <c r="M11">
        <f t="shared" si="2"/>
        <v>0.76705597416577009</v>
      </c>
      <c r="N11">
        <f t="shared" si="3"/>
        <v>2.0702290076335901</v>
      </c>
      <c r="O11">
        <f t="shared" si="0"/>
        <v>1.2767415593535636</v>
      </c>
      <c r="P11">
        <f t="shared" si="1"/>
        <v>87.239426523297482</v>
      </c>
    </row>
    <row r="12" spans="1:16" x14ac:dyDescent="0.25">
      <c r="A12">
        <v>60</v>
      </c>
      <c r="B12">
        <v>0.94</v>
      </c>
      <c r="C12">
        <f t="shared" si="4"/>
        <v>56.4</v>
      </c>
      <c r="D12">
        <v>18.940000000000001</v>
      </c>
      <c r="E12">
        <v>2.6</v>
      </c>
      <c r="F12">
        <f>D12*E12</f>
        <v>49.244000000000007</v>
      </c>
      <c r="G12">
        <f t="shared" si="9"/>
        <v>7.2846153846153845</v>
      </c>
      <c r="H12">
        <v>22.533628</v>
      </c>
      <c r="I12">
        <v>3.0747490000000002</v>
      </c>
      <c r="J12">
        <v>19.081296999999999</v>
      </c>
      <c r="K12">
        <v>2.6036730000000001</v>
      </c>
      <c r="L12">
        <f t="shared" si="5"/>
        <v>7.3286073174319499</v>
      </c>
      <c r="M12">
        <f t="shared" si="2"/>
        <v>0.74602428722279834</v>
      </c>
      <c r="N12">
        <f t="shared" si="3"/>
        <v>0.1412692307692322</v>
      </c>
      <c r="O12">
        <f t="shared" si="0"/>
        <v>0.60390192884408733</v>
      </c>
      <c r="P12">
        <f t="shared" si="1"/>
        <v>87.312056737588662</v>
      </c>
    </row>
    <row r="13" spans="1:16" x14ac:dyDescent="0.25">
      <c r="A13">
        <v>60</v>
      </c>
      <c r="B13">
        <v>0.9</v>
      </c>
      <c r="C13">
        <f t="shared" si="4"/>
        <v>54</v>
      </c>
      <c r="D13">
        <v>19.41</v>
      </c>
      <c r="E13">
        <v>2.42</v>
      </c>
      <c r="F13">
        <f t="shared" ref="F13:F14" si="12">D13*E13</f>
        <v>46.972200000000001</v>
      </c>
      <c r="G13">
        <f>D13/E13</f>
        <v>8.0206611570247937</v>
      </c>
      <c r="H13">
        <v>22.533055999999998</v>
      </c>
      <c r="I13">
        <v>2.8748619999999998</v>
      </c>
      <c r="J13">
        <v>19.507757000000002</v>
      </c>
      <c r="K13">
        <v>2.4888819999999998</v>
      </c>
      <c r="L13">
        <f t="shared" si="5"/>
        <v>7.8379597747100922</v>
      </c>
      <c r="M13">
        <f t="shared" si="2"/>
        <v>0.50364245234415983</v>
      </c>
      <c r="N13">
        <f t="shared" si="3"/>
        <v>2.8463636363636318</v>
      </c>
      <c r="O13">
        <f t="shared" si="0"/>
        <v>2.277884313248725</v>
      </c>
      <c r="P13">
        <f t="shared" si="1"/>
        <v>86.985555555555564</v>
      </c>
    </row>
    <row r="14" spans="1:16" x14ac:dyDescent="0.25">
      <c r="A14">
        <v>60</v>
      </c>
      <c r="B14">
        <v>0.87</v>
      </c>
      <c r="C14">
        <f t="shared" si="4"/>
        <v>52.2</v>
      </c>
      <c r="D14">
        <v>19.78</v>
      </c>
      <c r="E14">
        <v>2.29</v>
      </c>
      <c r="F14">
        <f t="shared" si="12"/>
        <v>45.296200000000006</v>
      </c>
      <c r="G14">
        <f>D14/E14</f>
        <v>8.6375545851528379</v>
      </c>
      <c r="H14">
        <v>22.535361999999999</v>
      </c>
      <c r="I14">
        <v>2.6735730000000002</v>
      </c>
      <c r="J14">
        <v>19.885262999999998</v>
      </c>
      <c r="K14">
        <v>2.3591679999999999</v>
      </c>
      <c r="L14">
        <f t="shared" si="5"/>
        <v>8.428930453447995</v>
      </c>
      <c r="M14">
        <f t="shared" si="2"/>
        <v>0.53216885743173514</v>
      </c>
      <c r="N14">
        <f t="shared" si="3"/>
        <v>3.0204366812227028</v>
      </c>
      <c r="O14">
        <f t="shared" si="0"/>
        <v>2.415314770495907</v>
      </c>
      <c r="P14">
        <f t="shared" si="1"/>
        <v>86.774329501915716</v>
      </c>
    </row>
    <row r="15" spans="1:16" x14ac:dyDescent="0.25">
      <c r="A15">
        <v>60</v>
      </c>
      <c r="B15">
        <v>0.79</v>
      </c>
      <c r="C15">
        <f t="shared" si="4"/>
        <v>47.400000000000006</v>
      </c>
      <c r="D15">
        <v>20.309999999999999</v>
      </c>
      <c r="E15">
        <v>2.0099999999999998</v>
      </c>
      <c r="F15">
        <f t="shared" ref="F15" si="13">D15*E15</f>
        <v>40.823099999999997</v>
      </c>
      <c r="G15">
        <f>D15/E15</f>
        <v>10.104477611940299</v>
      </c>
      <c r="H15">
        <v>22.533543000000002</v>
      </c>
      <c r="I15">
        <v>2.3436949999999999</v>
      </c>
      <c r="J15">
        <v>20.378786000000002</v>
      </c>
      <c r="K15">
        <v>2.11958</v>
      </c>
      <c r="L15">
        <f t="shared" si="5"/>
        <v>9.6145396729540771</v>
      </c>
      <c r="M15">
        <f t="shared" si="2"/>
        <v>0.33868045297884247</v>
      </c>
      <c r="N15">
        <f t="shared" si="3"/>
        <v>5.4517412935323506</v>
      </c>
      <c r="O15">
        <f t="shared" si="0"/>
        <v>4.8487211096125318</v>
      </c>
      <c r="P15">
        <f t="shared" si="1"/>
        <v>86.124683544303778</v>
      </c>
    </row>
    <row r="16" spans="1:16" x14ac:dyDescent="0.25">
      <c r="A16">
        <v>60</v>
      </c>
      <c r="B16">
        <v>0.75</v>
      </c>
      <c r="C16">
        <f t="shared" si="4"/>
        <v>45</v>
      </c>
      <c r="D16">
        <v>20.62</v>
      </c>
      <c r="E16">
        <v>1.87</v>
      </c>
      <c r="F16">
        <f>D16*E16</f>
        <v>38.559400000000004</v>
      </c>
      <c r="G16">
        <f t="shared" ref="G16:G18" si="14">D16/E16</f>
        <v>11.026737967914439</v>
      </c>
      <c r="H16">
        <v>22.535171999999999</v>
      </c>
      <c r="I16">
        <v>2.1489539999999998</v>
      </c>
      <c r="J16">
        <v>20.665606</v>
      </c>
      <c r="K16">
        <v>1.970672</v>
      </c>
      <c r="L16">
        <f t="shared" ref="L16:L18" si="15">J16/K16</f>
        <v>10.486578182467706</v>
      </c>
      <c r="M16">
        <f t="shared" si="2"/>
        <v>0.22117361784674766</v>
      </c>
      <c r="N16">
        <f t="shared" si="3"/>
        <v>5.383529411764699</v>
      </c>
      <c r="O16">
        <f t="shared" si="0"/>
        <v>4.8986362695702708</v>
      </c>
      <c r="P16">
        <f t="shared" si="1"/>
        <v>85.687555555555562</v>
      </c>
    </row>
    <row r="17" spans="1:16" x14ac:dyDescent="0.25">
      <c r="A17">
        <v>60</v>
      </c>
      <c r="B17">
        <v>0.44</v>
      </c>
      <c r="C17">
        <f t="shared" ref="C17:C18" si="16">A15*B17</f>
        <v>26.4</v>
      </c>
      <c r="D17">
        <v>21.49</v>
      </c>
      <c r="E17">
        <v>1</v>
      </c>
      <c r="F17">
        <f t="shared" ref="F17:F18" si="17">D17*E17</f>
        <v>21.49</v>
      </c>
      <c r="G17">
        <f t="shared" si="14"/>
        <v>21.49</v>
      </c>
      <c r="H17">
        <v>22.548850999999999</v>
      </c>
      <c r="I17">
        <v>1.2683180000000001</v>
      </c>
      <c r="J17">
        <v>21.433184000000001</v>
      </c>
      <c r="K17">
        <v>1.2055640000000001</v>
      </c>
      <c r="L17">
        <f t="shared" si="15"/>
        <v>17.778553440547327</v>
      </c>
      <c r="M17">
        <f t="shared" si="2"/>
        <v>0.26438343415541071</v>
      </c>
      <c r="N17">
        <f t="shared" si="3"/>
        <v>20.556400000000007</v>
      </c>
      <c r="O17">
        <f t="shared" si="0"/>
        <v>17.270574962553148</v>
      </c>
      <c r="P17">
        <f t="shared" si="1"/>
        <v>81.401515151515142</v>
      </c>
    </row>
    <row r="18" spans="1:16" x14ac:dyDescent="0.25">
      <c r="A18">
        <v>60</v>
      </c>
      <c r="B18">
        <v>0.12</v>
      </c>
      <c r="C18">
        <f t="shared" si="16"/>
        <v>7.1999999999999993</v>
      </c>
      <c r="D18">
        <v>22.3</v>
      </c>
      <c r="E18">
        <v>0.05</v>
      </c>
      <c r="F18">
        <f t="shared" si="17"/>
        <v>1.115</v>
      </c>
      <c r="G18">
        <f t="shared" si="14"/>
        <v>446</v>
      </c>
      <c r="H18">
        <v>22.826053999999999</v>
      </c>
      <c r="I18">
        <v>0.47076800000000002</v>
      </c>
      <c r="J18">
        <v>22.157703000000001</v>
      </c>
      <c r="K18">
        <v>0.45698299999999997</v>
      </c>
      <c r="L18">
        <f t="shared" si="15"/>
        <v>48.486930586039314</v>
      </c>
      <c r="M18">
        <f t="shared" si="2"/>
        <v>0.63810313901344951</v>
      </c>
      <c r="N18">
        <f t="shared" si="3"/>
        <v>813.96599999999989</v>
      </c>
      <c r="O18">
        <f t="shared" si="0"/>
        <v>89.128490899991192</v>
      </c>
      <c r="P18">
        <f t="shared" si="1"/>
        <v>15.486111111111111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2026-01-28T17:42:31Z</dcterms:modified>
</cp:coreProperties>
</file>