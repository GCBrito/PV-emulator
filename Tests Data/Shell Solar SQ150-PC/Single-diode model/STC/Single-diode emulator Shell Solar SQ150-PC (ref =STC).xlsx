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el\Desktop\Stage_GeePs\Test Data - new\Shell Solar SQ150-PC\Single-diode model\STC\"/>
    </mc:Choice>
  </mc:AlternateContent>
  <xr:revisionPtr revIDLastSave="0" documentId="13_ncr:1_{EE3D08D4-610F-48C0-BA46-9BF20247F781}" xr6:coauthVersionLast="47" xr6:coauthVersionMax="47" xr10:uidLastSave="{00000000-0000-0000-0000-000000000000}"/>
  <bookViews>
    <workbookView xWindow="20370" yWindow="-120" windowWidth="29040" windowHeight="15720" xr2:uid="{217CCB4B-160F-4504-987F-9C10DFEEC66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1" l="1"/>
  <c r="F20" i="1"/>
  <c r="G20" i="1"/>
  <c r="L20" i="1"/>
  <c r="O20" i="1" s="1"/>
  <c r="M20" i="1"/>
  <c r="N20" i="1"/>
  <c r="C21" i="1"/>
  <c r="F21" i="1"/>
  <c r="G21" i="1"/>
  <c r="L21" i="1"/>
  <c r="M21" i="1"/>
  <c r="N21" i="1"/>
  <c r="N9" i="1"/>
  <c r="M9" i="1"/>
  <c r="L9" i="1"/>
  <c r="G9" i="1"/>
  <c r="F9" i="1"/>
  <c r="C9" i="1"/>
  <c r="N3" i="1"/>
  <c r="M3" i="1"/>
  <c r="L3" i="1"/>
  <c r="G3" i="1"/>
  <c r="F3" i="1"/>
  <c r="C3" i="1"/>
  <c r="N4" i="1"/>
  <c r="N5" i="1"/>
  <c r="N6" i="1"/>
  <c r="N7" i="1"/>
  <c r="N8" i="1"/>
  <c r="N10" i="1"/>
  <c r="N11" i="1"/>
  <c r="N12" i="1"/>
  <c r="N13" i="1"/>
  <c r="N14" i="1"/>
  <c r="N15" i="1"/>
  <c r="N16" i="1"/>
  <c r="N17" i="1"/>
  <c r="N18" i="1"/>
  <c r="N19" i="1"/>
  <c r="N2" i="1"/>
  <c r="M4" i="1"/>
  <c r="M5" i="1"/>
  <c r="M6" i="1"/>
  <c r="M7" i="1"/>
  <c r="M8" i="1"/>
  <c r="M10" i="1"/>
  <c r="M11" i="1"/>
  <c r="M12" i="1"/>
  <c r="M13" i="1"/>
  <c r="M14" i="1"/>
  <c r="M15" i="1"/>
  <c r="M16" i="1"/>
  <c r="M17" i="1"/>
  <c r="M18" i="1"/>
  <c r="M19" i="1"/>
  <c r="M2" i="1"/>
  <c r="G15" i="1"/>
  <c r="G13" i="1"/>
  <c r="C17" i="1"/>
  <c r="F17" i="1"/>
  <c r="G17" i="1"/>
  <c r="L17" i="1"/>
  <c r="C18" i="1"/>
  <c r="F18" i="1"/>
  <c r="G18" i="1"/>
  <c r="L18" i="1"/>
  <c r="C19" i="1"/>
  <c r="F19" i="1"/>
  <c r="G19" i="1"/>
  <c r="L19" i="1"/>
  <c r="L16" i="1"/>
  <c r="G16" i="1"/>
  <c r="F16" i="1"/>
  <c r="C16" i="1"/>
  <c r="G12" i="1"/>
  <c r="L6" i="1"/>
  <c r="G6" i="1"/>
  <c r="F6" i="1"/>
  <c r="C6" i="1"/>
  <c r="L2" i="1"/>
  <c r="G2" i="1"/>
  <c r="F2" i="1"/>
  <c r="C2" i="1"/>
  <c r="L5" i="1"/>
  <c r="L7" i="1"/>
  <c r="L8" i="1"/>
  <c r="L10" i="1"/>
  <c r="L11" i="1"/>
  <c r="L12" i="1"/>
  <c r="L13" i="1"/>
  <c r="L14" i="1"/>
  <c r="L15" i="1"/>
  <c r="L4" i="1"/>
  <c r="C15" i="1"/>
  <c r="F15" i="1"/>
  <c r="G14" i="1"/>
  <c r="F14" i="1"/>
  <c r="C14" i="1"/>
  <c r="G4" i="1"/>
  <c r="F4" i="1"/>
  <c r="C4" i="1"/>
  <c r="F5" i="1"/>
  <c r="G5" i="1"/>
  <c r="F7" i="1"/>
  <c r="G7" i="1"/>
  <c r="F8" i="1"/>
  <c r="G8" i="1"/>
  <c r="F10" i="1"/>
  <c r="G10" i="1"/>
  <c r="F11" i="1"/>
  <c r="G11" i="1"/>
  <c r="F12" i="1"/>
  <c r="F13" i="1"/>
  <c r="C7" i="1"/>
  <c r="C5" i="1"/>
  <c r="C8" i="1"/>
  <c r="C11" i="1"/>
  <c r="C12" i="1"/>
  <c r="C10" i="1"/>
  <c r="C13" i="1"/>
  <c r="O21" i="1" l="1"/>
  <c r="P21" i="1"/>
  <c r="P20" i="1"/>
  <c r="O9" i="1"/>
  <c r="P9" i="1"/>
  <c r="O3" i="1"/>
  <c r="P3" i="1"/>
  <c r="O19" i="1"/>
  <c r="P19" i="1"/>
  <c r="O18" i="1"/>
  <c r="P18" i="1"/>
  <c r="O17" i="1"/>
  <c r="P17" i="1"/>
  <c r="O6" i="1"/>
  <c r="P6" i="1"/>
  <c r="O16" i="1"/>
  <c r="P16" i="1"/>
  <c r="O15" i="1"/>
  <c r="O2" i="1"/>
  <c r="P2" i="1"/>
  <c r="P14" i="1"/>
  <c r="P15" i="1"/>
  <c r="O14" i="1"/>
  <c r="O4" i="1"/>
  <c r="P4" i="1"/>
  <c r="P7" i="1"/>
  <c r="O7" i="1"/>
  <c r="O5" i="1"/>
  <c r="P5" i="1"/>
  <c r="O8" i="1"/>
  <c r="P8" i="1"/>
  <c r="P10" i="1"/>
  <c r="O11" i="1"/>
  <c r="P11" i="1"/>
  <c r="O12" i="1"/>
  <c r="P12" i="1"/>
  <c r="O10" i="1"/>
  <c r="P13" i="1"/>
  <c r="O13" i="1"/>
</calcChain>
</file>

<file path=xl/sharedStrings.xml><?xml version="1.0" encoding="utf-8"?>
<sst xmlns="http://schemas.openxmlformats.org/spreadsheetml/2006/main" count="16" uniqueCount="16">
  <si>
    <t>Vs_test</t>
  </si>
  <si>
    <t>Is_test</t>
  </si>
  <si>
    <t>Vs*</t>
  </si>
  <si>
    <t>Is*</t>
  </si>
  <si>
    <t>Vs (Volt)</t>
  </si>
  <si>
    <t>Is (Amp)</t>
  </si>
  <si>
    <t>Ve (alim)</t>
  </si>
  <si>
    <t>Ie (alim)</t>
  </si>
  <si>
    <t>Ps</t>
  </si>
  <si>
    <t>R*</t>
  </si>
  <si>
    <t xml:space="preserve">R </t>
  </si>
  <si>
    <t xml:space="preserve">Pe </t>
  </si>
  <si>
    <t>Rend. (%)</t>
  </si>
  <si>
    <t>R Error (%)</t>
  </si>
  <si>
    <t>Vs Error (%)</t>
  </si>
  <si>
    <t>Is Error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</si>
</sst>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0" fontId="1" fillId="2" borderId="0" xfId="1" applyAlignment="1">
      <alignment horizontal="center"/>
    </xf>
    <xf numFmtId="0" fontId="0" fillId="0" borderId="0" xfId="0" applyAlignment="1">
      <alignment horizontal="center"/>
    </xf>
    <xf numFmtId="0" fontId="0" fillId="0" borderId="0" xfId="0" quotePrefix="1"/>
  </cellXfs>
  <cellStyles count="2">
    <cellStyle name="Ênfase6" xfId="1" builtinId="4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8D570-ED79-418B-A1D1-0F000D275672}">
  <dimension ref="A1:P21"/>
  <sheetViews>
    <sheetView tabSelected="1" zoomScale="115" zoomScaleNormal="115" workbookViewId="0">
      <selection activeCell="H21" sqref="H21:L21"/>
    </sheetView>
  </sheetViews>
  <sheetFormatPr defaultColWidth="9.140625" defaultRowHeight="15" x14ac:dyDescent="0.25"/>
  <cols>
    <col min="5" max="5" width="8.5703125" customWidth="1"/>
  </cols>
  <sheetData>
    <row r="1" spans="1:16" s="2" customFormat="1" x14ac:dyDescent="0.25">
      <c r="A1" s="1" t="s">
        <v>6</v>
      </c>
      <c r="B1" s="1" t="s">
        <v>7</v>
      </c>
      <c r="C1" s="1" t="s">
        <v>11</v>
      </c>
      <c r="D1" s="1" t="s">
        <v>4</v>
      </c>
      <c r="E1" s="1" t="s">
        <v>5</v>
      </c>
      <c r="F1" s="1" t="s">
        <v>8</v>
      </c>
      <c r="G1" s="1" t="s">
        <v>10</v>
      </c>
      <c r="H1" s="1" t="s">
        <v>0</v>
      </c>
      <c r="I1" s="1" t="s">
        <v>1</v>
      </c>
      <c r="J1" s="1" t="s">
        <v>2</v>
      </c>
      <c r="K1" s="1" t="s">
        <v>3</v>
      </c>
      <c r="L1" s="1" t="s">
        <v>9</v>
      </c>
      <c r="M1" s="1" t="s">
        <v>14</v>
      </c>
      <c r="N1" s="1" t="s">
        <v>15</v>
      </c>
      <c r="O1" s="1" t="s">
        <v>13</v>
      </c>
      <c r="P1" s="1" t="s">
        <v>12</v>
      </c>
    </row>
    <row r="2" spans="1:16" x14ac:dyDescent="0.25">
      <c r="A2">
        <v>60</v>
      </c>
      <c r="B2">
        <v>1.94</v>
      </c>
      <c r="C2">
        <f>A2*B2</f>
        <v>116.39999999999999</v>
      </c>
      <c r="D2">
        <v>22.41</v>
      </c>
      <c r="E2">
        <v>4.76</v>
      </c>
      <c r="F2">
        <f>D2*E2</f>
        <v>106.6716</v>
      </c>
      <c r="G2">
        <f>D2/E2</f>
        <v>4.7079831932773111</v>
      </c>
      <c r="H2">
        <v>45.006152999999998</v>
      </c>
      <c r="I2">
        <v>9.4816079999999996</v>
      </c>
      <c r="J2">
        <v>22.641459999999999</v>
      </c>
      <c r="K2">
        <v>4.7699579999999999</v>
      </c>
      <c r="L2">
        <f>J2/K2</f>
        <v>4.7466791112206854</v>
      </c>
      <c r="M2">
        <f>ABS(J2-D2)/D2*100</f>
        <v>1.032842481035245</v>
      </c>
      <c r="N2">
        <f>ABS(K2-E2)/E2*100</f>
        <v>0.20920168067227171</v>
      </c>
      <c r="O2">
        <f t="shared" ref="O2:O19" si="0">(ABS(L2-G2)/G2)*100</f>
        <v>0.82192132713280619</v>
      </c>
      <c r="P2">
        <f t="shared" ref="P2:P19" si="1">(F2/C2)*100</f>
        <v>91.642268041237116</v>
      </c>
    </row>
    <row r="3" spans="1:16" x14ac:dyDescent="0.25">
      <c r="A3">
        <v>60</v>
      </c>
      <c r="B3">
        <v>2.0699999999999998</v>
      </c>
      <c r="C3">
        <f>A3*B3</f>
        <v>124.19999999999999</v>
      </c>
      <c r="D3">
        <v>24.2</v>
      </c>
      <c r="E3">
        <v>4.78</v>
      </c>
      <c r="F3">
        <f>D3*E3</f>
        <v>115.676</v>
      </c>
      <c r="G3">
        <f>D3/E3</f>
        <v>5.06276150627615</v>
      </c>
      <c r="H3">
        <v>45.006439</v>
      </c>
      <c r="I3">
        <v>8.7798029999999994</v>
      </c>
      <c r="J3">
        <v>24.412127000000002</v>
      </c>
      <c r="K3">
        <v>4.762289</v>
      </c>
      <c r="L3">
        <f>J3/K3</f>
        <v>5.126133042324815</v>
      </c>
      <c r="M3">
        <f>ABS(J3-D3)/D3*100</f>
        <v>0.87655785123967933</v>
      </c>
      <c r="N3">
        <f>ABS(K3-E3)/E3*100</f>
        <v>0.37052301255230652</v>
      </c>
      <c r="O3">
        <f t="shared" ref="O3" si="2">(ABS(L3-G3)/G3)*100</f>
        <v>1.2517187698868557</v>
      </c>
      <c r="P3">
        <f t="shared" ref="P3" si="3">(F3/C3)*100</f>
        <v>93.136876006441241</v>
      </c>
    </row>
    <row r="4" spans="1:16" x14ac:dyDescent="0.25">
      <c r="A4">
        <v>60</v>
      </c>
      <c r="B4">
        <v>2.2200000000000002</v>
      </c>
      <c r="C4">
        <f t="shared" ref="C4:C16" si="4">A2*B4</f>
        <v>133.20000000000002</v>
      </c>
      <c r="D4">
        <v>25.86</v>
      </c>
      <c r="E4">
        <v>4.83</v>
      </c>
      <c r="F4">
        <f>D4*E4</f>
        <v>124.9038</v>
      </c>
      <c r="G4">
        <f>D4/E4</f>
        <v>5.354037267080745</v>
      </c>
      <c r="H4">
        <v>45.006214</v>
      </c>
      <c r="I4">
        <v>8.2011629999999993</v>
      </c>
      <c r="J4">
        <v>26.068161</v>
      </c>
      <c r="K4">
        <v>4.750216</v>
      </c>
      <c r="L4">
        <f>J4/K4</f>
        <v>5.4877843449645241</v>
      </c>
      <c r="M4">
        <f t="shared" ref="M4:M19" si="5">ABS(J4-D4)/D4*100</f>
        <v>0.80495359628770491</v>
      </c>
      <c r="N4">
        <f t="shared" ref="N4:N19" si="6">ABS(K4-E4)/E4*100</f>
        <v>1.6518426501035213</v>
      </c>
      <c r="O4">
        <f t="shared" si="0"/>
        <v>2.4980602713791678</v>
      </c>
      <c r="P4">
        <f t="shared" si="1"/>
        <v>93.77162162162162</v>
      </c>
    </row>
    <row r="5" spans="1:16" x14ac:dyDescent="0.25">
      <c r="A5">
        <v>60</v>
      </c>
      <c r="B5">
        <v>2.38</v>
      </c>
      <c r="C5">
        <f t="shared" si="4"/>
        <v>142.79999999999998</v>
      </c>
      <c r="D5">
        <v>27.62</v>
      </c>
      <c r="E5" s="3">
        <v>4.8499999999999996</v>
      </c>
      <c r="F5">
        <f>D5*E5</f>
        <v>133.95699999999999</v>
      </c>
      <c r="G5">
        <f>D5/E5</f>
        <v>5.6948453608247425</v>
      </c>
      <c r="H5">
        <v>45.006348000000003</v>
      </c>
      <c r="I5">
        <v>7.6609480000000003</v>
      </c>
      <c r="J5">
        <v>27.799574</v>
      </c>
      <c r="K5">
        <v>4.7320229999999999</v>
      </c>
      <c r="L5">
        <f t="shared" ref="L5:L15" si="7">J5/K5</f>
        <v>5.8747757565844463</v>
      </c>
      <c r="M5">
        <f t="shared" si="5"/>
        <v>0.65015930485155238</v>
      </c>
      <c r="N5">
        <f t="shared" si="6"/>
        <v>2.4325154639175213</v>
      </c>
      <c r="O5">
        <f t="shared" si="0"/>
        <v>3.1595308451649657</v>
      </c>
      <c r="P5">
        <f t="shared" si="1"/>
        <v>93.807422969187684</v>
      </c>
    </row>
    <row r="6" spans="1:16" x14ac:dyDescent="0.25">
      <c r="A6">
        <v>60</v>
      </c>
      <c r="B6">
        <v>2.44</v>
      </c>
      <c r="C6">
        <f t="shared" si="4"/>
        <v>146.4</v>
      </c>
      <c r="D6">
        <v>28.48</v>
      </c>
      <c r="E6" s="3">
        <v>4.83</v>
      </c>
      <c r="F6">
        <f>D6*E6</f>
        <v>137.55840000000001</v>
      </c>
      <c r="G6">
        <f>D6/E6</f>
        <v>5.8964803312629401</v>
      </c>
      <c r="H6">
        <v>45.005699</v>
      </c>
      <c r="I6">
        <v>7.4150410000000004</v>
      </c>
      <c r="J6">
        <v>28.636825999999999</v>
      </c>
      <c r="K6">
        <v>4.7181410000000001</v>
      </c>
      <c r="L6">
        <f t="shared" ref="L6" si="8">J6/K6</f>
        <v>6.0695146668995266</v>
      </c>
      <c r="M6">
        <f t="shared" si="5"/>
        <v>0.55065308988763617</v>
      </c>
      <c r="N6">
        <f t="shared" si="6"/>
        <v>2.3159213250517583</v>
      </c>
      <c r="O6">
        <f t="shared" si="0"/>
        <v>2.9345359590053106</v>
      </c>
      <c r="P6">
        <f t="shared" si="1"/>
        <v>93.960655737704926</v>
      </c>
    </row>
    <row r="7" spans="1:16" x14ac:dyDescent="0.25">
      <c r="A7">
        <v>60</v>
      </c>
      <c r="B7">
        <v>2.4900000000000002</v>
      </c>
      <c r="C7">
        <f t="shared" si="4"/>
        <v>149.4</v>
      </c>
      <c r="D7">
        <v>29.31</v>
      </c>
      <c r="E7">
        <v>4.8099999999999996</v>
      </c>
      <c r="F7">
        <f t="shared" ref="F7" si="9">D7*E7</f>
        <v>140.98109999999997</v>
      </c>
      <c r="G7">
        <f t="shared" ref="G7" si="10">D7/E7</f>
        <v>6.0935550935550937</v>
      </c>
      <c r="H7">
        <v>45.004837000000002</v>
      </c>
      <c r="I7">
        <v>7.1789120000000004</v>
      </c>
      <c r="J7">
        <v>29.457879999999999</v>
      </c>
      <c r="K7">
        <v>4.6989510000000001</v>
      </c>
      <c r="L7">
        <f t="shared" si="7"/>
        <v>6.2690332374183084</v>
      </c>
      <c r="M7">
        <f t="shared" si="5"/>
        <v>0.50453770044353696</v>
      </c>
      <c r="N7">
        <f t="shared" si="6"/>
        <v>2.3087110187110085</v>
      </c>
      <c r="O7">
        <f t="shared" si="0"/>
        <v>2.8797334424498899</v>
      </c>
      <c r="P7">
        <f t="shared" si="1"/>
        <v>94.36485943775098</v>
      </c>
    </row>
    <row r="8" spans="1:16" x14ac:dyDescent="0.25">
      <c r="A8">
        <v>60</v>
      </c>
      <c r="B8">
        <v>2.54</v>
      </c>
      <c r="C8">
        <f t="shared" si="4"/>
        <v>152.4</v>
      </c>
      <c r="D8">
        <v>30.17</v>
      </c>
      <c r="E8">
        <v>4.7699999999999996</v>
      </c>
      <c r="F8">
        <f>D8*E8</f>
        <v>143.9109</v>
      </c>
      <c r="G8">
        <f t="shared" ref="G8:G12" si="11">D8/E8</f>
        <v>6.3249475890985334</v>
      </c>
      <c r="H8">
        <v>45.005585000000004</v>
      </c>
      <c r="I8">
        <v>6.9369909999999999</v>
      </c>
      <c r="J8">
        <v>30.314298999999998</v>
      </c>
      <c r="K8">
        <v>4.6725320000000004</v>
      </c>
      <c r="L8">
        <f t="shared" si="7"/>
        <v>6.4877670179679878</v>
      </c>
      <c r="M8">
        <f t="shared" si="5"/>
        <v>0.4782863771958788</v>
      </c>
      <c r="N8">
        <f t="shared" si="6"/>
        <v>2.0433542976939041</v>
      </c>
      <c r="O8">
        <f t="shared" si="0"/>
        <v>2.5742415502396341</v>
      </c>
      <c r="P8">
        <f t="shared" si="1"/>
        <v>94.429724409448809</v>
      </c>
    </row>
    <row r="9" spans="1:16" x14ac:dyDescent="0.25">
      <c r="A9">
        <v>60</v>
      </c>
      <c r="B9">
        <v>2.58</v>
      </c>
      <c r="C9">
        <f t="shared" ref="C9" si="12">A7*B9</f>
        <v>154.80000000000001</v>
      </c>
      <c r="D9">
        <v>31.21</v>
      </c>
      <c r="E9">
        <v>4.71</v>
      </c>
      <c r="F9">
        <f>D9*E9</f>
        <v>146.9991</v>
      </c>
      <c r="G9">
        <f t="shared" ref="G9" si="13">D9/E9</f>
        <v>6.6263269639065818</v>
      </c>
      <c r="H9">
        <v>45.007683</v>
      </c>
      <c r="I9">
        <v>6.6484199999999998</v>
      </c>
      <c r="J9">
        <v>31.332647000000001</v>
      </c>
      <c r="K9">
        <v>4.6283789999999998</v>
      </c>
      <c r="L9">
        <f t="shared" ref="L9" si="14">J9/K9</f>
        <v>6.7696804864078768</v>
      </c>
      <c r="M9">
        <f t="shared" ref="M9" si="15">ABS(J9-D9)/D9*100</f>
        <v>0.39297340595963026</v>
      </c>
      <c r="N9">
        <f t="shared" ref="N9" si="16">ABS(K9-E9)/E9*100</f>
        <v>1.7329299363057362</v>
      </c>
      <c r="O9">
        <f t="shared" ref="O9" si="17">(ABS(L9-G9)/G9)*100</f>
        <v>2.1633934347359798</v>
      </c>
      <c r="P9">
        <f t="shared" ref="P9" si="18">(F9/C9)*100</f>
        <v>94.960658914728683</v>
      </c>
    </row>
    <row r="10" spans="1:16" x14ac:dyDescent="0.25">
      <c r="A10">
        <v>60</v>
      </c>
      <c r="B10">
        <v>2.63</v>
      </c>
      <c r="C10">
        <f t="shared" si="4"/>
        <v>157.79999999999998</v>
      </c>
      <c r="D10">
        <v>32.18</v>
      </c>
      <c r="E10">
        <v>4.6500000000000004</v>
      </c>
      <c r="F10">
        <f>D10*E10</f>
        <v>149.637</v>
      </c>
      <c r="G10">
        <f>D10/E10</f>
        <v>6.9204301075268813</v>
      </c>
      <c r="H10">
        <v>45.003467999999998</v>
      </c>
      <c r="I10">
        <v>6.374206</v>
      </c>
      <c r="J10">
        <v>32.268706999999999</v>
      </c>
      <c r="K10">
        <v>4.5704779999999996</v>
      </c>
      <c r="L10">
        <f>J10/K10</f>
        <v>7.0602477465157918</v>
      </c>
      <c r="M10">
        <f>ABS(J10-D10)/D10*100</f>
        <v>0.275658794282161</v>
      </c>
      <c r="N10">
        <f t="shared" si="6"/>
        <v>1.7101505376344246</v>
      </c>
      <c r="O10">
        <f t="shared" si="0"/>
        <v>2.0203605385283843</v>
      </c>
      <c r="P10">
        <f t="shared" si="1"/>
        <v>94.826996197718643</v>
      </c>
    </row>
    <row r="11" spans="1:16" x14ac:dyDescent="0.25">
      <c r="A11">
        <v>60</v>
      </c>
      <c r="B11">
        <v>2.65</v>
      </c>
      <c r="C11">
        <f t="shared" si="4"/>
        <v>159</v>
      </c>
      <c r="D11">
        <v>33.14</v>
      </c>
      <c r="E11">
        <v>4.55</v>
      </c>
      <c r="F11">
        <f>D11*E11</f>
        <v>150.78700000000001</v>
      </c>
      <c r="G11">
        <f t="shared" si="11"/>
        <v>7.2835164835164843</v>
      </c>
      <c r="H11">
        <v>45.003509999999999</v>
      </c>
      <c r="I11">
        <v>6.0780269999999996</v>
      </c>
      <c r="J11">
        <v>33.229163999999997</v>
      </c>
      <c r="K11">
        <v>4.4878229999999997</v>
      </c>
      <c r="L11">
        <f t="shared" si="7"/>
        <v>7.4042946880926452</v>
      </c>
      <c r="M11">
        <f t="shared" si="5"/>
        <v>0.2690525045262423</v>
      </c>
      <c r="N11">
        <f t="shared" si="6"/>
        <v>1.3665274725274759</v>
      </c>
      <c r="O11">
        <f t="shared" si="0"/>
        <v>1.6582402861241168</v>
      </c>
      <c r="P11">
        <f t="shared" si="1"/>
        <v>94.834591194968553</v>
      </c>
    </row>
    <row r="12" spans="1:16" x14ac:dyDescent="0.25">
      <c r="A12">
        <v>60</v>
      </c>
      <c r="B12">
        <v>2.66</v>
      </c>
      <c r="C12">
        <f t="shared" si="4"/>
        <v>159.60000000000002</v>
      </c>
      <c r="D12">
        <v>33.840000000000003</v>
      </c>
      <c r="E12">
        <v>4.49</v>
      </c>
      <c r="F12">
        <f>D12*E12</f>
        <v>151.94160000000002</v>
      </c>
      <c r="G12">
        <f t="shared" si="11"/>
        <v>7.5367483296213811</v>
      </c>
      <c r="H12">
        <v>45.006283000000003</v>
      </c>
      <c r="I12">
        <v>5.8548220000000004</v>
      </c>
      <c r="J12">
        <v>33.908855000000003</v>
      </c>
      <c r="K12">
        <v>4.4111690000000001</v>
      </c>
      <c r="L12">
        <f t="shared" si="7"/>
        <v>7.6870450894082731</v>
      </c>
      <c r="M12">
        <f t="shared" si="5"/>
        <v>0.20347222222221992</v>
      </c>
      <c r="N12">
        <f t="shared" si="6"/>
        <v>1.7557015590200467</v>
      </c>
      <c r="O12">
        <f t="shared" si="0"/>
        <v>1.9941857312149684</v>
      </c>
      <c r="P12">
        <f t="shared" si="1"/>
        <v>95.201503759398491</v>
      </c>
    </row>
    <row r="13" spans="1:16" x14ac:dyDescent="0.25">
      <c r="A13">
        <v>60</v>
      </c>
      <c r="B13">
        <v>2.64</v>
      </c>
      <c r="C13">
        <f t="shared" si="4"/>
        <v>158.4</v>
      </c>
      <c r="D13">
        <v>34.58</v>
      </c>
      <c r="E13">
        <v>4.37</v>
      </c>
      <c r="F13">
        <f t="shared" ref="F13:F14" si="19">D13*E13</f>
        <v>151.1146</v>
      </c>
      <c r="G13">
        <f>D13/E13</f>
        <v>7.9130434782608692</v>
      </c>
      <c r="H13">
        <v>45.008648000000001</v>
      </c>
      <c r="I13">
        <v>5.5967719999999996</v>
      </c>
      <c r="J13">
        <v>34.641444999999997</v>
      </c>
      <c r="K13">
        <v>4.3076230000000004</v>
      </c>
      <c r="L13">
        <f t="shared" si="7"/>
        <v>8.041893406177838</v>
      </c>
      <c r="M13">
        <f t="shared" si="5"/>
        <v>0.17768941584730796</v>
      </c>
      <c r="N13">
        <f t="shared" si="6"/>
        <v>1.4273913043478188</v>
      </c>
      <c r="O13">
        <f t="shared" si="0"/>
        <v>1.6283232648847705</v>
      </c>
      <c r="P13">
        <f t="shared" si="1"/>
        <v>95.400631313131314</v>
      </c>
    </row>
    <row r="14" spans="1:16" x14ac:dyDescent="0.25">
      <c r="A14">
        <v>60</v>
      </c>
      <c r="B14">
        <v>2.62</v>
      </c>
      <c r="C14">
        <f t="shared" si="4"/>
        <v>157.20000000000002</v>
      </c>
      <c r="D14">
        <v>35.590000000000003</v>
      </c>
      <c r="E14">
        <v>4.21</v>
      </c>
      <c r="F14">
        <f t="shared" si="19"/>
        <v>149.8339</v>
      </c>
      <c r="G14">
        <f>D14/E14</f>
        <v>8.4536817102137771</v>
      </c>
      <c r="H14">
        <v>45.006680000000003</v>
      </c>
      <c r="I14">
        <v>5.2231259999999997</v>
      </c>
      <c r="J14">
        <v>35.597892999999999</v>
      </c>
      <c r="K14">
        <v>4.1312160000000002</v>
      </c>
      <c r="L14">
        <f t="shared" si="7"/>
        <v>8.6168074968725907</v>
      </c>
      <c r="M14">
        <f t="shared" si="5"/>
        <v>2.2177577971328206E-2</v>
      </c>
      <c r="N14">
        <f t="shared" si="6"/>
        <v>1.8713539192398991</v>
      </c>
      <c r="O14">
        <f t="shared" si="0"/>
        <v>1.9296419270401945</v>
      </c>
      <c r="P14">
        <f t="shared" si="1"/>
        <v>95.314185750636128</v>
      </c>
    </row>
    <row r="15" spans="1:16" x14ac:dyDescent="0.25">
      <c r="A15">
        <v>60</v>
      </c>
      <c r="B15">
        <v>2.56</v>
      </c>
      <c r="C15">
        <f t="shared" si="4"/>
        <v>153.6</v>
      </c>
      <c r="D15">
        <v>36.32</v>
      </c>
      <c r="E15">
        <v>4.03</v>
      </c>
      <c r="F15">
        <f t="shared" ref="F15" si="20">D15*E15</f>
        <v>146.36960000000002</v>
      </c>
      <c r="G15">
        <f>D15/E15</f>
        <v>9.0124069478908186</v>
      </c>
      <c r="H15">
        <v>45.004463000000001</v>
      </c>
      <c r="I15">
        <v>4.9083629999999996</v>
      </c>
      <c r="J15">
        <v>36.300350000000002</v>
      </c>
      <c r="K15">
        <v>3.9590580000000002</v>
      </c>
      <c r="L15">
        <f t="shared" si="7"/>
        <v>9.168936145921581</v>
      </c>
      <c r="M15">
        <f t="shared" si="5"/>
        <v>5.4102422907485175E-2</v>
      </c>
      <c r="N15">
        <f t="shared" si="6"/>
        <v>1.7603473945409442</v>
      </c>
      <c r="O15">
        <f t="shared" si="0"/>
        <v>1.7368190199999238</v>
      </c>
      <c r="P15">
        <f t="shared" si="1"/>
        <v>95.292708333333351</v>
      </c>
    </row>
    <row r="16" spans="1:16" x14ac:dyDescent="0.25">
      <c r="A16">
        <v>60</v>
      </c>
      <c r="B16">
        <v>2.5299999999999998</v>
      </c>
      <c r="C16">
        <f t="shared" si="4"/>
        <v>151.79999999999998</v>
      </c>
      <c r="D16">
        <v>36.67</v>
      </c>
      <c r="E16">
        <v>3.95</v>
      </c>
      <c r="F16">
        <f>D16*E16</f>
        <v>144.84650000000002</v>
      </c>
      <c r="G16">
        <f t="shared" ref="G16:G19" si="21">D16/E16</f>
        <v>9.2835443037974681</v>
      </c>
      <c r="H16">
        <v>45.004626999999999</v>
      </c>
      <c r="I16">
        <v>4.7548209999999997</v>
      </c>
      <c r="J16">
        <v>36.647137000000001</v>
      </c>
      <c r="K16">
        <v>3.8718370000000002</v>
      </c>
      <c r="L16">
        <f t="shared" ref="L16:L19" si="22">J16/K16</f>
        <v>9.4650516021206474</v>
      </c>
      <c r="M16">
        <f t="shared" si="5"/>
        <v>6.2347968366514767E-2</v>
      </c>
      <c r="N16">
        <f t="shared" si="6"/>
        <v>1.978810126582278</v>
      </c>
      <c r="O16">
        <f t="shared" si="0"/>
        <v>1.9551508818558998</v>
      </c>
      <c r="P16">
        <f t="shared" si="1"/>
        <v>95.419301712779998</v>
      </c>
    </row>
    <row r="17" spans="1:16" x14ac:dyDescent="0.25">
      <c r="A17">
        <v>60</v>
      </c>
      <c r="B17">
        <v>2.44</v>
      </c>
      <c r="C17">
        <f t="shared" ref="C17:C19" si="23">A15*B17</f>
        <v>146.4</v>
      </c>
      <c r="D17">
        <v>37.39</v>
      </c>
      <c r="E17">
        <v>3.71</v>
      </c>
      <c r="F17">
        <f t="shared" ref="F17:F19" si="24">D17*E17</f>
        <v>138.71690000000001</v>
      </c>
      <c r="G17">
        <f t="shared" si="21"/>
        <v>10.078167115902966</v>
      </c>
      <c r="H17">
        <v>45.010010000000001</v>
      </c>
      <c r="I17">
        <v>4.3959830000000002</v>
      </c>
      <c r="J17">
        <v>37.328505999999997</v>
      </c>
      <c r="K17">
        <v>3.6457549999999999</v>
      </c>
      <c r="L17">
        <f t="shared" si="22"/>
        <v>10.238895921420941</v>
      </c>
      <c r="M17">
        <f t="shared" si="5"/>
        <v>0.16446643487564394</v>
      </c>
      <c r="N17">
        <f t="shared" si="6"/>
        <v>1.7316711590296525</v>
      </c>
      <c r="O17">
        <f t="shared" si="0"/>
        <v>1.5948217931845046</v>
      </c>
      <c r="P17">
        <f t="shared" si="1"/>
        <v>94.751980874316942</v>
      </c>
    </row>
    <row r="18" spans="1:16" x14ac:dyDescent="0.25">
      <c r="A18">
        <v>60</v>
      </c>
      <c r="B18">
        <v>2.29</v>
      </c>
      <c r="C18">
        <f t="shared" si="23"/>
        <v>137.4</v>
      </c>
      <c r="D18">
        <v>38.14</v>
      </c>
      <c r="E18">
        <v>3.44</v>
      </c>
      <c r="F18">
        <f t="shared" si="24"/>
        <v>131.20160000000001</v>
      </c>
      <c r="G18">
        <f t="shared" si="21"/>
        <v>11.087209302325581</v>
      </c>
      <c r="H18">
        <v>45.005409</v>
      </c>
      <c r="I18">
        <v>4.0201019999999996</v>
      </c>
      <c r="J18">
        <v>38.051414000000001</v>
      </c>
      <c r="K18">
        <v>3.3989370000000001</v>
      </c>
      <c r="L18">
        <f t="shared" si="22"/>
        <v>11.195092465673827</v>
      </c>
      <c r="M18">
        <f t="shared" si="5"/>
        <v>0.232265338227581</v>
      </c>
      <c r="N18">
        <f t="shared" si="6"/>
        <v>1.1936918604651119</v>
      </c>
      <c r="O18">
        <f t="shared" si="0"/>
        <v>0.97304164110636338</v>
      </c>
      <c r="P18">
        <f t="shared" si="1"/>
        <v>95.488791848617183</v>
      </c>
    </row>
    <row r="19" spans="1:16" x14ac:dyDescent="0.25">
      <c r="A19">
        <v>60</v>
      </c>
      <c r="B19">
        <v>1.89</v>
      </c>
      <c r="C19">
        <f t="shared" si="23"/>
        <v>113.39999999999999</v>
      </c>
      <c r="D19">
        <v>39.32</v>
      </c>
      <c r="E19">
        <v>2.73</v>
      </c>
      <c r="F19">
        <f t="shared" si="24"/>
        <v>107.3436</v>
      </c>
      <c r="G19">
        <f t="shared" si="21"/>
        <v>14.402930402930403</v>
      </c>
      <c r="H19">
        <v>45.008011000000003</v>
      </c>
      <c r="I19">
        <v>3.1157840000000001</v>
      </c>
      <c r="J19">
        <v>39.146132999999999</v>
      </c>
      <c r="K19">
        <v>2.7099820000000001</v>
      </c>
      <c r="L19">
        <f t="shared" si="22"/>
        <v>14.445163473410524</v>
      </c>
      <c r="M19">
        <f t="shared" si="5"/>
        <v>0.44218463886063408</v>
      </c>
      <c r="N19">
        <f t="shared" si="6"/>
        <v>0.73326007326006848</v>
      </c>
      <c r="O19">
        <f t="shared" si="0"/>
        <v>0.29322554021040137</v>
      </c>
      <c r="P19">
        <f t="shared" si="1"/>
        <v>94.659259259259272</v>
      </c>
    </row>
    <row r="20" spans="1:16" x14ac:dyDescent="0.25">
      <c r="A20">
        <v>60</v>
      </c>
      <c r="B20">
        <v>1.1299999999999999</v>
      </c>
      <c r="C20">
        <f t="shared" ref="C20:C21" si="25">A18*B20</f>
        <v>67.8</v>
      </c>
      <c r="D20">
        <v>41.31</v>
      </c>
      <c r="E20">
        <v>1.51</v>
      </c>
      <c r="F20">
        <f t="shared" ref="F20:F21" si="26">D20*E20</f>
        <v>62.378100000000003</v>
      </c>
      <c r="G20">
        <f t="shared" ref="G20:G21" si="27">D20/E20</f>
        <v>27.357615894039736</v>
      </c>
      <c r="H20">
        <v>45.569969</v>
      </c>
      <c r="I20">
        <v>1.6974199999999999</v>
      </c>
      <c r="J20">
        <v>41.002605000000003</v>
      </c>
      <c r="K20">
        <v>1.5272920000000001</v>
      </c>
      <c r="L20">
        <f t="shared" ref="L20:L21" si="28">J20/K20</f>
        <v>26.846604971413456</v>
      </c>
      <c r="M20">
        <f t="shared" ref="M20:M21" si="29">ABS(J20-D20)/D20*100</f>
        <v>0.74411764705882266</v>
      </c>
      <c r="N20">
        <f t="shared" ref="N20:N21" si="30">ABS(K20-E20)/E20*100</f>
        <v>1.145165562913913</v>
      </c>
      <c r="O20">
        <f t="shared" ref="O20:O21" si="31">(ABS(L20-G20)/G20)*100</f>
        <v>1.8678927454991112</v>
      </c>
      <c r="P20">
        <f t="shared" ref="P20:P21" si="32">(F20/C20)*100</f>
        <v>92.003097345132758</v>
      </c>
    </row>
    <row r="21" spans="1:16" x14ac:dyDescent="0.25">
      <c r="A21">
        <v>60</v>
      </c>
      <c r="B21">
        <v>0.18</v>
      </c>
      <c r="C21">
        <f t="shared" si="25"/>
        <v>10.799999999999999</v>
      </c>
      <c r="D21">
        <v>43.52</v>
      </c>
      <c r="E21">
        <v>0.1</v>
      </c>
      <c r="F21">
        <f t="shared" si="26"/>
        <v>4.3520000000000003</v>
      </c>
      <c r="G21">
        <f t="shared" si="27"/>
        <v>435.2</v>
      </c>
      <c r="H21">
        <v>45.033172999999998</v>
      </c>
      <c r="I21">
        <v>0.202371</v>
      </c>
      <c r="J21">
        <v>43.096004000000001</v>
      </c>
      <c r="K21">
        <v>0.193666</v>
      </c>
      <c r="L21">
        <f t="shared" si="28"/>
        <v>222.52746481055013</v>
      </c>
      <c r="M21">
        <f t="shared" si="29"/>
        <v>0.97425551470588811</v>
      </c>
      <c r="N21">
        <f t="shared" si="30"/>
        <v>93.665999999999997</v>
      </c>
      <c r="O21">
        <f t="shared" si="31"/>
        <v>48.867770034340502</v>
      </c>
      <c r="P21">
        <f t="shared" si="32"/>
        <v>40.296296296296305</v>
      </c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Ceolin De Brito (Student at CentraleSupelec)</dc:creator>
  <cp:lastModifiedBy>Gabriel Ceolin De Brito (Student at CentraleSupelec)</cp:lastModifiedBy>
  <dcterms:created xsi:type="dcterms:W3CDTF">2025-05-16T10:23:07Z</dcterms:created>
  <dcterms:modified xsi:type="dcterms:W3CDTF">2026-01-29T18:02:22Z</dcterms:modified>
</cp:coreProperties>
</file>