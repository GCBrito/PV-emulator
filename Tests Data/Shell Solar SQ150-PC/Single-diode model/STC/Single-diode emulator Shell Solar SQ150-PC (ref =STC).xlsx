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Shell Solar SQ150-PC\Single-diode model\STC\"/>
    </mc:Choice>
  </mc:AlternateContent>
  <xr:revisionPtr revIDLastSave="0" documentId="13_ncr:1_{C8B584C2-4D22-40F3-AC4B-D8799D28E38C}" xr6:coauthVersionLast="47" xr6:coauthVersionMax="47" xr10:uidLastSave="{00000000-0000-0000-0000-000000000000}"/>
  <bookViews>
    <workbookView xWindow="33360" yWindow="0" windowWidth="16035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F20" i="1"/>
  <c r="G20" i="1"/>
  <c r="L20" i="1"/>
  <c r="O20" i="1" s="1"/>
  <c r="M20" i="1"/>
  <c r="N20" i="1"/>
  <c r="C21" i="1"/>
  <c r="F21" i="1"/>
  <c r="G21" i="1"/>
  <c r="L21" i="1"/>
  <c r="M21" i="1"/>
  <c r="N21" i="1"/>
  <c r="N9" i="1"/>
  <c r="M9" i="1"/>
  <c r="L9" i="1"/>
  <c r="G9" i="1"/>
  <c r="F9" i="1"/>
  <c r="C9" i="1"/>
  <c r="N3" i="1"/>
  <c r="M3" i="1"/>
  <c r="L3" i="1"/>
  <c r="G3" i="1"/>
  <c r="F3" i="1"/>
  <c r="C3" i="1"/>
  <c r="N4" i="1"/>
  <c r="N5" i="1"/>
  <c r="N6" i="1"/>
  <c r="N7" i="1"/>
  <c r="N8" i="1"/>
  <c r="N10" i="1"/>
  <c r="N11" i="1"/>
  <c r="N12" i="1"/>
  <c r="N13" i="1"/>
  <c r="N14" i="1"/>
  <c r="N15" i="1"/>
  <c r="N16" i="1"/>
  <c r="N17" i="1"/>
  <c r="N18" i="1"/>
  <c r="N19" i="1"/>
  <c r="N2" i="1"/>
  <c r="M4" i="1"/>
  <c r="M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" i="1"/>
  <c r="G15" i="1"/>
  <c r="G13" i="1"/>
  <c r="C17" i="1"/>
  <c r="F17" i="1"/>
  <c r="G17" i="1"/>
  <c r="L17" i="1"/>
  <c r="C18" i="1"/>
  <c r="F18" i="1"/>
  <c r="G18" i="1"/>
  <c r="L18" i="1"/>
  <c r="C19" i="1"/>
  <c r="F19" i="1"/>
  <c r="G19" i="1"/>
  <c r="L19" i="1"/>
  <c r="L16" i="1"/>
  <c r="G16" i="1"/>
  <c r="F16" i="1"/>
  <c r="C16" i="1"/>
  <c r="G12" i="1"/>
  <c r="L6" i="1"/>
  <c r="G6" i="1"/>
  <c r="F6" i="1"/>
  <c r="C6" i="1"/>
  <c r="L2" i="1"/>
  <c r="G2" i="1"/>
  <c r="F2" i="1"/>
  <c r="C2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O21" i="1" l="1"/>
  <c r="P21" i="1"/>
  <c r="P20" i="1"/>
  <c r="O9" i="1"/>
  <c r="P9" i="1"/>
  <c r="O3" i="1"/>
  <c r="P3" i="1"/>
  <c r="O19" i="1"/>
  <c r="P19" i="1"/>
  <c r="O18" i="1"/>
  <c r="P18" i="1"/>
  <c r="O17" i="1"/>
  <c r="P17" i="1"/>
  <c r="O6" i="1"/>
  <c r="P6" i="1"/>
  <c r="O16" i="1"/>
  <c r="P16" i="1"/>
  <c r="O15" i="1"/>
  <c r="O2" i="1"/>
  <c r="P2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<sst xmlns="http://schemas.openxmlformats.org/spreadsheetml/2006/main" count="16" uniqueCount="16">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</sst>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21"/>
  <sheetViews>
    <sheetView tabSelected="1" topLeftCell="D1" zoomScale="115" zoomScaleNormal="115" workbookViewId="0">
      <selection activeCell="N24" sqref="N24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1.97</v>
      </c>
      <c r="C2">
        <f>A2*B2</f>
        <v>118.2</v>
      </c>
      <c r="D2">
        <v>23.2</v>
      </c>
      <c r="E2">
        <v>4.7</v>
      </c>
      <c r="F2">
        <f>D2*E2</f>
        <v>109.04</v>
      </c>
      <c r="G2">
        <f>D2/E2</f>
        <v>4.9361702127659575</v>
      </c>
      <c r="H2">
        <v>45.001868999999999</v>
      </c>
      <c r="I2">
        <v>9.1656870000000001</v>
      </c>
      <c r="J2">
        <v>23.428795000000001</v>
      </c>
      <c r="K2">
        <v>4.7718239999999996</v>
      </c>
      <c r="L2">
        <f>J2/K2</f>
        <v>4.9098195993817049</v>
      </c>
      <c r="M2">
        <f>ABS(J2-D2)/D2*100</f>
        <v>0.98618534482759324</v>
      </c>
      <c r="N2">
        <f>ABS(K2-E2)/E2*100</f>
        <v>1.5281702127659456</v>
      </c>
      <c r="O2">
        <f t="shared" ref="O2:O19" si="0">(ABS(L2-G2)/G2)*100</f>
        <v>0.53382708149132418</v>
      </c>
      <c r="P2">
        <f t="shared" ref="P2:P19" si="1">(F2/C2)*100</f>
        <v>92.250423011844333</v>
      </c>
    </row>
    <row r="3" spans="1:16" x14ac:dyDescent="0.25">
      <c r="A3">
        <v>60</v>
      </c>
      <c r="B3">
        <v>2.21</v>
      </c>
      <c r="C3">
        <f>A3*B3</f>
        <v>132.6</v>
      </c>
      <c r="D3">
        <v>25.74</v>
      </c>
      <c r="E3">
        <v>4.83</v>
      </c>
      <c r="F3">
        <f>D3*E3</f>
        <v>124.32419999999999</v>
      </c>
      <c r="G3">
        <f>D3/E3</f>
        <v>5.3291925465838501</v>
      </c>
      <c r="H3">
        <v>45.002346000000003</v>
      </c>
      <c r="I3">
        <v>8.2431920000000005</v>
      </c>
      <c r="J3">
        <v>25.957675999999999</v>
      </c>
      <c r="K3">
        <v>4.7547319999999997</v>
      </c>
      <c r="L3">
        <f>J3/K3</f>
        <v>5.4593352474965995</v>
      </c>
      <c r="M3">
        <f>ABS(J3-D3)/D3*100</f>
        <v>0.84567210567210915</v>
      </c>
      <c r="N3">
        <f>ABS(K3-E3)/E3*100</f>
        <v>1.5583436853002139</v>
      </c>
      <c r="O3">
        <f t="shared" ref="O3" si="2">(ABS(L3-G3)/G3)*100</f>
        <v>2.4420716604839923</v>
      </c>
      <c r="P3">
        <f t="shared" ref="P3" si="3">(F3/C3)*100</f>
        <v>93.758823529411757</v>
      </c>
    </row>
    <row r="4" spans="1:16" x14ac:dyDescent="0.25">
      <c r="A4">
        <v>60</v>
      </c>
      <c r="B4">
        <v>2.35</v>
      </c>
      <c r="C4">
        <f t="shared" ref="C4:C16" si="4">A2*B4</f>
        <v>141</v>
      </c>
      <c r="D4">
        <v>27.54</v>
      </c>
      <c r="E4">
        <v>4.79</v>
      </c>
      <c r="F4">
        <f>D4*E4</f>
        <v>131.91659999999999</v>
      </c>
      <c r="G4">
        <f>D4/E4</f>
        <v>5.7494780793319409</v>
      </c>
      <c r="H4">
        <v>45.002929999999999</v>
      </c>
      <c r="I4">
        <v>7.6887299999999996</v>
      </c>
      <c r="J4">
        <v>27.723593000000001</v>
      </c>
      <c r="K4">
        <v>4.7365630000000003</v>
      </c>
      <c r="L4">
        <f>J4/K4</f>
        <v>5.8531034000814515</v>
      </c>
      <c r="M4">
        <f t="shared" ref="M4:M19" si="5">ABS(J4-D4)/D4*100</f>
        <v>0.66664124909223632</v>
      </c>
      <c r="N4">
        <f t="shared" ref="N4:N19" si="6">ABS(K4-E4)/E4*100</f>
        <v>1.1155949895615811</v>
      </c>
      <c r="O4">
        <f t="shared" si="0"/>
        <v>1.8023430878364406</v>
      </c>
      <c r="P4">
        <f t="shared" si="1"/>
        <v>93.557872340425519</v>
      </c>
    </row>
    <row r="5" spans="1:16" x14ac:dyDescent="0.25">
      <c r="A5">
        <v>60</v>
      </c>
      <c r="B5">
        <v>2.39</v>
      </c>
      <c r="C5">
        <f t="shared" si="4"/>
        <v>143.4</v>
      </c>
      <c r="D5">
        <v>28.43</v>
      </c>
      <c r="E5" s="3">
        <v>4.76</v>
      </c>
      <c r="F5">
        <f>D5*E5</f>
        <v>135.32679999999999</v>
      </c>
      <c r="G5">
        <f>D5/E5</f>
        <v>5.9726890756302522</v>
      </c>
      <c r="H5">
        <v>45.002434000000001</v>
      </c>
      <c r="I5">
        <v>7.4295030000000004</v>
      </c>
      <c r="J5">
        <v>28.600252000000001</v>
      </c>
      <c r="K5">
        <v>4.7216480000000001</v>
      </c>
      <c r="L5">
        <f t="shared" ref="L5:L15" si="7">J5/K5</f>
        <v>6.0572605158199</v>
      </c>
      <c r="M5">
        <f t="shared" si="5"/>
        <v>0.59884628913120441</v>
      </c>
      <c r="N5">
        <f t="shared" si="6"/>
        <v>0.80571428571427994</v>
      </c>
      <c r="O5">
        <f t="shared" si="0"/>
        <v>1.415969241303987</v>
      </c>
      <c r="P5">
        <f t="shared" si="1"/>
        <v>94.370153417015331</v>
      </c>
    </row>
    <row r="6" spans="1:16" x14ac:dyDescent="0.25">
      <c r="A6">
        <v>60</v>
      </c>
      <c r="B6">
        <v>2.4500000000000002</v>
      </c>
      <c r="C6">
        <f t="shared" si="4"/>
        <v>147</v>
      </c>
      <c r="D6">
        <v>29.22</v>
      </c>
      <c r="E6" s="3">
        <v>4.76</v>
      </c>
      <c r="F6">
        <f>D6*E6</f>
        <v>139.0872</v>
      </c>
      <c r="G6">
        <f>D6/E6</f>
        <v>6.1386554621848743</v>
      </c>
      <c r="H6">
        <v>45.006149000000001</v>
      </c>
      <c r="I6">
        <v>7.2074579999999999</v>
      </c>
      <c r="J6">
        <v>29.371901000000001</v>
      </c>
      <c r="K6">
        <v>4.7037300000000002</v>
      </c>
      <c r="L6">
        <f t="shared" ref="L6" si="8">J6/K6</f>
        <v>6.2443849880839251</v>
      </c>
      <c r="M6">
        <f t="shared" si="5"/>
        <v>0.51985284052019953</v>
      </c>
      <c r="N6">
        <f t="shared" si="6"/>
        <v>1.1821428571428487</v>
      </c>
      <c r="O6">
        <f t="shared" si="0"/>
        <v>1.7223564109496283</v>
      </c>
      <c r="P6">
        <f t="shared" si="1"/>
        <v>94.617142857142852</v>
      </c>
    </row>
    <row r="7" spans="1:16" x14ac:dyDescent="0.25">
      <c r="A7">
        <v>60</v>
      </c>
      <c r="B7">
        <v>2.5099999999999998</v>
      </c>
      <c r="C7">
        <f t="shared" si="4"/>
        <v>150.6</v>
      </c>
      <c r="D7">
        <v>30.05</v>
      </c>
      <c r="E7">
        <v>4.7300000000000004</v>
      </c>
      <c r="F7">
        <f t="shared" ref="F7" si="9">D7*E7</f>
        <v>142.13650000000001</v>
      </c>
      <c r="G7">
        <f t="shared" ref="G7" si="10">D7/E7</f>
        <v>6.3530655391120501</v>
      </c>
      <c r="H7">
        <v>45.009200999999997</v>
      </c>
      <c r="I7">
        <v>6.9768610000000004</v>
      </c>
      <c r="J7">
        <v>30.186039000000001</v>
      </c>
      <c r="K7">
        <v>4.6791280000000004</v>
      </c>
      <c r="L7">
        <f t="shared" si="7"/>
        <v>6.4512103537240266</v>
      </c>
      <c r="M7">
        <f t="shared" si="5"/>
        <v>0.45270881863560808</v>
      </c>
      <c r="N7">
        <f t="shared" si="6"/>
        <v>1.0755179704016917</v>
      </c>
      <c r="O7">
        <f t="shared" si="0"/>
        <v>1.5448418406477509</v>
      </c>
      <c r="P7">
        <f t="shared" si="1"/>
        <v>94.380146082337319</v>
      </c>
    </row>
    <row r="8" spans="1:16" x14ac:dyDescent="0.25">
      <c r="A8">
        <v>60</v>
      </c>
      <c r="B8">
        <v>2.56</v>
      </c>
      <c r="C8">
        <f t="shared" si="4"/>
        <v>153.6</v>
      </c>
      <c r="D8">
        <v>31.3</v>
      </c>
      <c r="E8">
        <v>4.68</v>
      </c>
      <c r="F8">
        <f>D8*E8</f>
        <v>146.48399999999998</v>
      </c>
      <c r="G8">
        <f t="shared" ref="G8:G12" si="11">D8/E8</f>
        <v>6.6880341880341883</v>
      </c>
      <c r="H8">
        <v>45.005760000000002</v>
      </c>
      <c r="I8">
        <v>6.6235150000000003</v>
      </c>
      <c r="J8">
        <v>31.423369999999998</v>
      </c>
      <c r="K8">
        <v>4.6245890000000003</v>
      </c>
      <c r="L8">
        <f t="shared" si="7"/>
        <v>6.794845985232417</v>
      </c>
      <c r="M8">
        <f t="shared" si="5"/>
        <v>0.39415335463258072</v>
      </c>
      <c r="N8">
        <f t="shared" si="6"/>
        <v>1.1839957264957144</v>
      </c>
      <c r="O8">
        <f t="shared" si="0"/>
        <v>1.5970581817498739</v>
      </c>
      <c r="P8">
        <f t="shared" si="1"/>
        <v>95.3671875</v>
      </c>
    </row>
    <row r="9" spans="1:16" x14ac:dyDescent="0.25">
      <c r="A9">
        <v>60</v>
      </c>
      <c r="B9">
        <v>2.62</v>
      </c>
      <c r="C9">
        <f t="shared" ref="C9" si="12">A7*B9</f>
        <v>157.20000000000002</v>
      </c>
      <c r="D9">
        <v>32.200000000000003</v>
      </c>
      <c r="E9">
        <v>4.6399999999999997</v>
      </c>
      <c r="F9">
        <f>D9*E9</f>
        <v>149.40800000000002</v>
      </c>
      <c r="G9">
        <f t="shared" ref="G9" si="13">D9/E9</f>
        <v>6.9396551724137945</v>
      </c>
      <c r="H9">
        <v>45.007038000000001</v>
      </c>
      <c r="I9">
        <v>6.3705410000000002</v>
      </c>
      <c r="J9">
        <v>32.285755000000002</v>
      </c>
      <c r="K9">
        <v>4.5699009999999998</v>
      </c>
      <c r="L9">
        <f t="shared" ref="L9" si="14">J9/K9</f>
        <v>7.0648696766078745</v>
      </c>
      <c r="M9">
        <f t="shared" ref="M9" si="15">ABS(J9-D9)/D9*100</f>
        <v>0.26631987577639415</v>
      </c>
      <c r="N9">
        <f t="shared" ref="N9" si="16">ABS(K9-E9)/E9*100</f>
        <v>1.5107543103448258</v>
      </c>
      <c r="O9">
        <f t="shared" ref="O9" si="17">(ABS(L9-G9)/G9)*100</f>
        <v>1.8043332281382951</v>
      </c>
      <c r="P9">
        <f t="shared" ref="P9" si="18">(F9/C9)*100</f>
        <v>95.043256997455472</v>
      </c>
    </row>
    <row r="10" spans="1:16" x14ac:dyDescent="0.25">
      <c r="A10">
        <v>60</v>
      </c>
      <c r="B10">
        <v>2.64</v>
      </c>
      <c r="C10">
        <f t="shared" si="4"/>
        <v>158.4</v>
      </c>
      <c r="D10">
        <v>33.11</v>
      </c>
      <c r="E10">
        <v>4.55</v>
      </c>
      <c r="F10">
        <f>D10*E10</f>
        <v>150.65049999999999</v>
      </c>
      <c r="G10">
        <f>D10/E10</f>
        <v>7.2769230769230768</v>
      </c>
      <c r="H10">
        <v>45.006256</v>
      </c>
      <c r="I10">
        <v>6.0926150000000003</v>
      </c>
      <c r="J10">
        <v>33.184868000000002</v>
      </c>
      <c r="K10">
        <v>4.4923219999999997</v>
      </c>
      <c r="L10">
        <f>J10/K10</f>
        <v>7.387019007096999</v>
      </c>
      <c r="M10">
        <f>ABS(J10-D10)/D10*100</f>
        <v>0.22611899728179449</v>
      </c>
      <c r="N10">
        <f t="shared" si="6"/>
        <v>1.2676483516483543</v>
      </c>
      <c r="O10">
        <f t="shared" si="0"/>
        <v>1.5129461863223974</v>
      </c>
      <c r="P10">
        <f t="shared" si="1"/>
        <v>95.107638888888886</v>
      </c>
    </row>
    <row r="11" spans="1:16" x14ac:dyDescent="0.25">
      <c r="A11">
        <v>60</v>
      </c>
      <c r="B11">
        <v>2.68</v>
      </c>
      <c r="C11">
        <f t="shared" si="4"/>
        <v>160.80000000000001</v>
      </c>
      <c r="D11">
        <v>33.869999999999997</v>
      </c>
      <c r="E11">
        <v>4.5</v>
      </c>
      <c r="F11">
        <f>D11*E11</f>
        <v>152.41499999999999</v>
      </c>
      <c r="G11">
        <f t="shared" si="11"/>
        <v>7.5266666666666664</v>
      </c>
      <c r="H11">
        <v>45.003723000000001</v>
      </c>
      <c r="I11">
        <v>5.8675329999999999</v>
      </c>
      <c r="J11">
        <v>33.870052000000001</v>
      </c>
      <c r="K11">
        <v>4.4159379999999997</v>
      </c>
      <c r="L11">
        <f t="shared" si="7"/>
        <v>7.6699564169605647</v>
      </c>
      <c r="M11">
        <f t="shared" si="5"/>
        <v>1.535281960546671E-4</v>
      </c>
      <c r="N11">
        <f t="shared" si="6"/>
        <v>1.8680444444444513</v>
      </c>
      <c r="O11">
        <f t="shared" si="0"/>
        <v>1.9037610756496681</v>
      </c>
      <c r="P11">
        <f t="shared" si="1"/>
        <v>94.785447761194021</v>
      </c>
    </row>
    <row r="12" spans="1:16" x14ac:dyDescent="0.25">
      <c r="A12">
        <v>60</v>
      </c>
      <c r="B12">
        <v>2.66</v>
      </c>
      <c r="C12">
        <f t="shared" si="4"/>
        <v>159.60000000000002</v>
      </c>
      <c r="D12">
        <v>34.729999999999997</v>
      </c>
      <c r="E12">
        <v>4.38</v>
      </c>
      <c r="F12">
        <f>D12*E12</f>
        <v>152.11739999999998</v>
      </c>
      <c r="G12">
        <f t="shared" si="11"/>
        <v>7.9292237442922371</v>
      </c>
      <c r="H12">
        <v>45.006003999999997</v>
      </c>
      <c r="I12">
        <v>5.5571700000000002</v>
      </c>
      <c r="J12">
        <v>34.747570000000003</v>
      </c>
      <c r="K12">
        <v>4.2904980000000004</v>
      </c>
      <c r="L12">
        <f t="shared" si="7"/>
        <v>8.0987265347752171</v>
      </c>
      <c r="M12">
        <f t="shared" si="5"/>
        <v>5.0590267780035426E-2</v>
      </c>
      <c r="N12">
        <f t="shared" si="6"/>
        <v>2.0434246575342359</v>
      </c>
      <c r="O12">
        <f t="shared" si="0"/>
        <v>2.1376971561055353</v>
      </c>
      <c r="P12">
        <f t="shared" si="1"/>
        <v>95.311654135338316</v>
      </c>
    </row>
    <row r="13" spans="1:16" x14ac:dyDescent="0.25">
      <c r="A13">
        <v>60</v>
      </c>
      <c r="B13">
        <v>2.63</v>
      </c>
      <c r="C13">
        <f t="shared" si="4"/>
        <v>157.79999999999998</v>
      </c>
      <c r="D13">
        <v>35.67</v>
      </c>
      <c r="E13">
        <v>4.2</v>
      </c>
      <c r="F13">
        <f t="shared" ref="F13:F14" si="19">D13*E13</f>
        <v>149.81400000000002</v>
      </c>
      <c r="G13">
        <f>D13/E13</f>
        <v>8.4928571428571438</v>
      </c>
      <c r="H13">
        <v>45.006400999999997</v>
      </c>
      <c r="I13">
        <v>5.1994879999999997</v>
      </c>
      <c r="J13">
        <v>35.658520000000003</v>
      </c>
      <c r="K13">
        <v>4.119548</v>
      </c>
      <c r="L13">
        <f t="shared" si="7"/>
        <v>8.6559302137030567</v>
      </c>
      <c r="M13">
        <f t="shared" si="5"/>
        <v>3.2183908045973715E-2</v>
      </c>
      <c r="N13">
        <f t="shared" si="6"/>
        <v>1.9155238095238138</v>
      </c>
      <c r="O13">
        <f t="shared" si="0"/>
        <v>1.9201202622731548</v>
      </c>
      <c r="P13">
        <f t="shared" si="1"/>
        <v>94.939163498098893</v>
      </c>
    </row>
    <row r="14" spans="1:16" x14ac:dyDescent="0.25">
      <c r="A14">
        <v>60</v>
      </c>
      <c r="B14">
        <v>2.57</v>
      </c>
      <c r="C14">
        <f t="shared" si="4"/>
        <v>154.19999999999999</v>
      </c>
      <c r="D14">
        <v>36.270000000000003</v>
      </c>
      <c r="E14">
        <v>4.04</v>
      </c>
      <c r="F14">
        <f t="shared" si="19"/>
        <v>146.53080000000003</v>
      </c>
      <c r="G14">
        <f>D14/E14</f>
        <v>8.9777227722772288</v>
      </c>
      <c r="H14">
        <v>45.007046000000003</v>
      </c>
      <c r="I14">
        <v>4.9422610000000002</v>
      </c>
      <c r="J14">
        <v>36.230217000000003</v>
      </c>
      <c r="K14">
        <v>3.9784700000000002</v>
      </c>
      <c r="L14">
        <f t="shared" si="7"/>
        <v>9.1065703649895564</v>
      </c>
      <c r="M14">
        <f t="shared" si="5"/>
        <v>0.10968569065343231</v>
      </c>
      <c r="N14">
        <f t="shared" si="6"/>
        <v>1.5230198019801946</v>
      </c>
      <c r="O14">
        <f t="shared" si="0"/>
        <v>1.4351923754006159</v>
      </c>
      <c r="P14">
        <f t="shared" si="1"/>
        <v>95.026459143968907</v>
      </c>
    </row>
    <row r="15" spans="1:16" x14ac:dyDescent="0.25">
      <c r="A15">
        <v>60</v>
      </c>
      <c r="B15">
        <v>2.5299999999999998</v>
      </c>
      <c r="C15">
        <f t="shared" si="4"/>
        <v>151.79999999999998</v>
      </c>
      <c r="D15">
        <v>36.950000000000003</v>
      </c>
      <c r="E15">
        <v>3.91</v>
      </c>
      <c r="F15">
        <f t="shared" ref="F15" si="20">D15*E15</f>
        <v>144.47450000000001</v>
      </c>
      <c r="G15">
        <f>D15/E15</f>
        <v>9.4501278772378523</v>
      </c>
      <c r="H15">
        <v>45.009200999999997</v>
      </c>
      <c r="I15">
        <v>4.6426569999999998</v>
      </c>
      <c r="J15">
        <v>36.874701999999999</v>
      </c>
      <c r="K15">
        <v>3.8035909999999999</v>
      </c>
      <c r="L15">
        <f t="shared" si="7"/>
        <v>9.694707448829277</v>
      </c>
      <c r="M15">
        <f t="shared" si="5"/>
        <v>0.20378349120434</v>
      </c>
      <c r="N15">
        <f t="shared" si="6"/>
        <v>2.721457800511514</v>
      </c>
      <c r="O15">
        <f t="shared" si="0"/>
        <v>2.5881085924830058</v>
      </c>
      <c r="P15">
        <f t="shared" si="1"/>
        <v>95.174242424242436</v>
      </c>
    </row>
    <row r="16" spans="1:16" x14ac:dyDescent="0.25">
      <c r="A16">
        <v>60</v>
      </c>
      <c r="B16">
        <v>2.41</v>
      </c>
      <c r="C16">
        <f t="shared" si="4"/>
        <v>144.60000000000002</v>
      </c>
      <c r="D16">
        <v>37.58</v>
      </c>
      <c r="E16">
        <v>3.68</v>
      </c>
      <c r="F16">
        <f>D16*E16</f>
        <v>138.2944</v>
      </c>
      <c r="G16">
        <f t="shared" ref="G16:G19" si="21">D16/E16</f>
        <v>10.211956521739129</v>
      </c>
      <c r="H16">
        <v>45.006428</v>
      </c>
      <c r="I16">
        <v>4.3154450000000004</v>
      </c>
      <c r="J16">
        <v>37.490470999999999</v>
      </c>
      <c r="K16">
        <v>3.5947770000000001</v>
      </c>
      <c r="L16">
        <f t="shared" ref="L16:L19" si="22">J16/K16</f>
        <v>10.429150681669544</v>
      </c>
      <c r="M16">
        <f t="shared" si="5"/>
        <v>0.23823576370409488</v>
      </c>
      <c r="N16">
        <f t="shared" si="6"/>
        <v>2.3158423913043489</v>
      </c>
      <c r="O16">
        <f t="shared" si="0"/>
        <v>2.1268613851621252</v>
      </c>
      <c r="P16">
        <f t="shared" si="1"/>
        <v>95.639280774550457</v>
      </c>
    </row>
    <row r="17" spans="1:16" x14ac:dyDescent="0.25">
      <c r="A17">
        <v>60</v>
      </c>
      <c r="B17">
        <v>2.3199999999999998</v>
      </c>
      <c r="C17">
        <f t="shared" ref="C17:C19" si="23">A15*B17</f>
        <v>139.19999999999999</v>
      </c>
      <c r="D17">
        <v>38.22</v>
      </c>
      <c r="E17">
        <v>3.46</v>
      </c>
      <c r="F17">
        <f t="shared" ref="F17:F19" si="24">D17*E17</f>
        <v>132.24119999999999</v>
      </c>
      <c r="G17">
        <f t="shared" si="21"/>
        <v>11.046242774566474</v>
      </c>
      <c r="H17">
        <v>45.005336999999997</v>
      </c>
      <c r="I17">
        <v>3.9951319999999999</v>
      </c>
      <c r="J17">
        <v>38.099936999999997</v>
      </c>
      <c r="K17">
        <v>3.3821379999999999</v>
      </c>
      <c r="L17">
        <f t="shared" si="22"/>
        <v>11.265045069124914</v>
      </c>
      <c r="M17">
        <f t="shared" si="5"/>
        <v>0.31413657770801101</v>
      </c>
      <c r="N17">
        <f t="shared" si="6"/>
        <v>2.2503468208092512</v>
      </c>
      <c r="O17">
        <f t="shared" si="0"/>
        <v>1.9807847702046113</v>
      </c>
      <c r="P17">
        <f t="shared" si="1"/>
        <v>95.000862068965517</v>
      </c>
    </row>
    <row r="18" spans="1:16" x14ac:dyDescent="0.25">
      <c r="A18">
        <v>60</v>
      </c>
      <c r="B18">
        <v>1.89</v>
      </c>
      <c r="C18">
        <f t="shared" si="23"/>
        <v>113.39999999999999</v>
      </c>
      <c r="D18">
        <v>39.39</v>
      </c>
      <c r="E18">
        <v>2.73</v>
      </c>
      <c r="F18">
        <f t="shared" si="24"/>
        <v>107.5347</v>
      </c>
      <c r="G18">
        <f t="shared" si="21"/>
        <v>14.428571428571429</v>
      </c>
      <c r="H18">
        <v>45.006453999999998</v>
      </c>
      <c r="I18">
        <v>3.076956</v>
      </c>
      <c r="J18">
        <v>39.200232999999997</v>
      </c>
      <c r="K18">
        <v>2.680002</v>
      </c>
      <c r="L18">
        <f t="shared" si="22"/>
        <v>14.626941696312166</v>
      </c>
      <c r="M18">
        <f t="shared" si="5"/>
        <v>0.48176440720996028</v>
      </c>
      <c r="N18">
        <f t="shared" si="6"/>
        <v>1.831428571428571</v>
      </c>
      <c r="O18">
        <f t="shared" si="0"/>
        <v>1.3748434397872851</v>
      </c>
      <c r="P18">
        <f t="shared" si="1"/>
        <v>94.827777777777783</v>
      </c>
    </row>
    <row r="19" spans="1:16" x14ac:dyDescent="0.25">
      <c r="A19">
        <v>60</v>
      </c>
      <c r="B19">
        <v>1.31</v>
      </c>
      <c r="C19">
        <f t="shared" si="23"/>
        <v>78.600000000000009</v>
      </c>
      <c r="D19">
        <v>40.92</v>
      </c>
      <c r="E19">
        <v>1.78</v>
      </c>
      <c r="F19">
        <f t="shared" si="24"/>
        <v>72.837600000000009</v>
      </c>
      <c r="G19">
        <f t="shared" si="21"/>
        <v>22.988764044943821</v>
      </c>
      <c r="H19">
        <v>45.010604999999998</v>
      </c>
      <c r="I19">
        <v>1.953921</v>
      </c>
      <c r="J19">
        <v>40.635674000000002</v>
      </c>
      <c r="K19">
        <v>1.7640039999999999</v>
      </c>
      <c r="L19">
        <f t="shared" si="22"/>
        <v>23.036044135954342</v>
      </c>
      <c r="M19">
        <f t="shared" si="5"/>
        <v>0.69483382209188671</v>
      </c>
      <c r="N19">
        <f t="shared" si="6"/>
        <v>0.89865168539326523</v>
      </c>
      <c r="O19">
        <f t="shared" si="0"/>
        <v>0.20566608504087677</v>
      </c>
      <c r="P19">
        <f t="shared" si="1"/>
        <v>92.66870229007634</v>
      </c>
    </row>
    <row r="20" spans="1:16" x14ac:dyDescent="0.25">
      <c r="A20">
        <v>60</v>
      </c>
      <c r="B20">
        <v>0.63</v>
      </c>
      <c r="C20">
        <f t="shared" ref="C20:C21" si="25">A18*B20</f>
        <v>37.799999999999997</v>
      </c>
      <c r="D20">
        <v>42.51</v>
      </c>
      <c r="E20">
        <v>0.77</v>
      </c>
      <c r="F20">
        <f t="shared" ref="F20:F21" si="26">D20*E20</f>
        <v>32.732700000000001</v>
      </c>
      <c r="G20">
        <f t="shared" ref="G20:G21" si="27">D20/E20</f>
        <v>55.207792207792203</v>
      </c>
      <c r="H20">
        <v>45.019573000000001</v>
      </c>
      <c r="I20">
        <v>0.88109800000000005</v>
      </c>
      <c r="J20">
        <v>42.108539999999998</v>
      </c>
      <c r="K20">
        <v>0.824125</v>
      </c>
      <c r="L20">
        <f t="shared" ref="L20:L21" si="28">J20/K20</f>
        <v>51.094846048839678</v>
      </c>
      <c r="M20">
        <f t="shared" ref="M20:M21" si="29">ABS(J20-D20)/D20*100</f>
        <v>0.94438955539873015</v>
      </c>
      <c r="N20">
        <f t="shared" ref="N20:N21" si="30">ABS(K20-E20)/E20*100</f>
        <v>7.0292207792207764</v>
      </c>
      <c r="O20">
        <f t="shared" ref="O20:O21" si="31">(ABS(L20-G20)/G20)*100</f>
        <v>7.4499377614524684</v>
      </c>
      <c r="P20">
        <f t="shared" ref="P20:P21" si="32">(F20/C20)*100</f>
        <v>86.594444444444449</v>
      </c>
    </row>
    <row r="21" spans="1:16" x14ac:dyDescent="0.25">
      <c r="A21">
        <v>60</v>
      </c>
      <c r="B21">
        <v>0.17</v>
      </c>
      <c r="C21">
        <f t="shared" si="25"/>
        <v>10.200000000000001</v>
      </c>
      <c r="D21">
        <v>43.6</v>
      </c>
      <c r="E21">
        <v>0.1</v>
      </c>
      <c r="F21">
        <f t="shared" si="26"/>
        <v>4.3600000000000003</v>
      </c>
      <c r="G21">
        <f t="shared" si="27"/>
        <v>436</v>
      </c>
      <c r="H21">
        <v>45.032485999999999</v>
      </c>
      <c r="I21">
        <v>0.16022900000000001</v>
      </c>
      <c r="J21">
        <v>43.159354999999998</v>
      </c>
      <c r="K21">
        <v>0.15356500000000001</v>
      </c>
      <c r="L21">
        <f t="shared" si="28"/>
        <v>281.049425324781</v>
      </c>
      <c r="M21">
        <f t="shared" si="29"/>
        <v>1.0106536697247788</v>
      </c>
      <c r="N21">
        <f t="shared" si="30"/>
        <v>53.564999999999998</v>
      </c>
      <c r="O21">
        <f t="shared" si="31"/>
        <v>35.539122631930965</v>
      </c>
      <c r="P21">
        <f t="shared" si="32"/>
        <v>42.745098039215684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2026-03-16T13:10:48Z</dcterms:modified>
</cp:coreProperties>
</file>