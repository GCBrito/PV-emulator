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Stage_GeePs\Test Data - new\Shell Solar SQ150-PC\Simplified exponential model\STC\"/>
    </mc:Choice>
  </mc:AlternateContent>
  <xr:revisionPtr revIDLastSave="0" documentId="13_ncr:1_{21D063F5-6E7D-43D9-B609-4F00140C8EF3}" xr6:coauthVersionLast="47" xr6:coauthVersionMax="47" xr10:uidLastSave="{00000000-0000-0000-0000-000000000000}"/>
  <bookViews>
    <workbookView xWindow="20370" yWindow="-120" windowWidth="29040" windowHeight="15720" xr2:uid="{217CCB4B-160F-4504-987F-9C10DFEEC6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M9" i="1"/>
  <c r="L9" i="1"/>
  <c r="G9" i="1"/>
  <c r="F9" i="1"/>
  <c r="C9" i="1"/>
  <c r="N3" i="1"/>
  <c r="M3" i="1"/>
  <c r="L3" i="1"/>
  <c r="G3" i="1"/>
  <c r="F3" i="1"/>
  <c r="C3" i="1"/>
  <c r="N4" i="1"/>
  <c r="N5" i="1"/>
  <c r="N6" i="1"/>
  <c r="N7" i="1"/>
  <c r="N8" i="1"/>
  <c r="N10" i="1"/>
  <c r="N11" i="1"/>
  <c r="N12" i="1"/>
  <c r="N13" i="1"/>
  <c r="N2" i="1"/>
  <c r="M4" i="1"/>
  <c r="M5" i="1"/>
  <c r="M6" i="1"/>
  <c r="M7" i="1"/>
  <c r="M8" i="1"/>
  <c r="M10" i="1"/>
  <c r="M11" i="1"/>
  <c r="M12" i="1"/>
  <c r="M13" i="1"/>
  <c r="M2" i="1"/>
  <c r="G13" i="1"/>
  <c r="G12" i="1"/>
  <c r="L6" i="1"/>
  <c r="G6" i="1"/>
  <c r="F6" i="1"/>
  <c r="C6" i="1"/>
  <c r="L2" i="1"/>
  <c r="G2" i="1"/>
  <c r="F2" i="1"/>
  <c r="C2" i="1"/>
  <c r="L5" i="1"/>
  <c r="L7" i="1"/>
  <c r="L8" i="1"/>
  <c r="L10" i="1"/>
  <c r="L11" i="1"/>
  <c r="L12" i="1"/>
  <c r="L13" i="1"/>
  <c r="L4" i="1"/>
  <c r="G4" i="1"/>
  <c r="F4" i="1"/>
  <c r="C4" i="1"/>
  <c r="F5" i="1"/>
  <c r="G5" i="1"/>
  <c r="F7" i="1"/>
  <c r="G7" i="1"/>
  <c r="F8" i="1"/>
  <c r="G8" i="1"/>
  <c r="F10" i="1"/>
  <c r="G10" i="1"/>
  <c r="F11" i="1"/>
  <c r="G11" i="1"/>
  <c r="F12" i="1"/>
  <c r="F13" i="1"/>
  <c r="C7" i="1"/>
  <c r="C5" i="1"/>
  <c r="C8" i="1"/>
  <c r="C11" i="1"/>
  <c r="C12" i="1"/>
  <c r="C10" i="1"/>
  <c r="C13" i="1"/>
  <c r="O9" i="1" l="1"/>
  <c r="P9" i="1"/>
  <c r="O3" i="1"/>
  <c r="P3" i="1"/>
  <c r="O6" i="1"/>
  <c r="P6" i="1"/>
  <c r="O2" i="1"/>
  <c r="P2" i="1"/>
  <c r="O4" i="1"/>
  <c r="P4" i="1"/>
  <c r="P7" i="1"/>
  <c r="O7" i="1"/>
  <c r="O5" i="1"/>
  <c r="P5" i="1"/>
  <c r="O8" i="1"/>
  <c r="P8" i="1"/>
  <c r="P10" i="1"/>
  <c r="O11" i="1"/>
  <c r="P11" i="1"/>
  <c r="O12" i="1"/>
  <c r="P12" i="1"/>
  <c r="O10" i="1"/>
  <c r="P13" i="1"/>
  <c r="O13" i="1"/>
</calcChain>
</file>

<file path=xl/sharedStrings.xml><?xml version="1.0" encoding="utf-8"?>
<sst xmlns="http://schemas.openxmlformats.org/spreadsheetml/2006/main" count="16" uniqueCount="16">
  <si>
    <t>Vs_test</t>
  </si>
  <si>
    <t>Is_test</t>
  </si>
  <si>
    <t>Vs*</t>
  </si>
  <si>
    <t>Is*</t>
  </si>
  <si>
    <t>Vs (Volt)</t>
  </si>
  <si>
    <t>Is (Amp)</t>
  </si>
  <si>
    <t>Ve (alim)</t>
  </si>
  <si>
    <t>Ie (alim)</t>
  </si>
  <si>
    <t>Ps</t>
  </si>
  <si>
    <t>R*</t>
  </si>
  <si>
    <t xml:space="preserve">R </t>
  </si>
  <si>
    <t xml:space="preserve">Pe </t>
  </si>
  <si>
    <t>Rend. (%)</t>
  </si>
  <si>
    <t>R Error (%)</t>
  </si>
  <si>
    <t>Vs Error (%)</t>
  </si>
  <si>
    <t>Is 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</si>
</sst>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/>
  </cellXfs>
  <cellStyles count="2">
    <cellStyle name="Ênfase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D570-ED79-418B-A1D1-0F000D275672}">
  <dimension ref="A1:P13"/>
  <sheetViews>
    <sheetView tabSelected="1" zoomScale="115" zoomScaleNormal="115" workbookViewId="0">
      <selection activeCell="A14" sqref="A14:P21"/>
    </sheetView>
  </sheetViews>
  <sheetFormatPr defaultColWidth="9.140625" defaultRowHeight="15" x14ac:dyDescent="0.25"/>
  <cols>
    <col min="5" max="5" width="8.5703125" customWidth="1"/>
  </cols>
  <sheetData>
    <row r="1" spans="1:16" s="2" customFormat="1" x14ac:dyDescent="0.25">
      <c r="A1" s="1" t="s">
        <v>6</v>
      </c>
      <c r="B1" s="1" t="s">
        <v>7</v>
      </c>
      <c r="C1" s="1" t="s">
        <v>11</v>
      </c>
      <c r="D1" s="1" t="s">
        <v>4</v>
      </c>
      <c r="E1" s="1" t="s">
        <v>5</v>
      </c>
      <c r="F1" s="1" t="s">
        <v>8</v>
      </c>
      <c r="G1" s="1" t="s">
        <v>10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9</v>
      </c>
      <c r="M1" s="1" t="s">
        <v>14</v>
      </c>
      <c r="N1" s="1" t="s">
        <v>15</v>
      </c>
      <c r="O1" s="1" t="s">
        <v>13</v>
      </c>
      <c r="P1" s="1" t="s">
        <v>12</v>
      </c>
    </row>
    <row r="2" spans="1:16" x14ac:dyDescent="0.25">
      <c r="A2">
        <v>60</v>
      </c>
      <c r="B2">
        <v>2.2400000000000002</v>
      </c>
      <c r="C2">
        <f>A2*B2</f>
        <v>134.4</v>
      </c>
      <c r="D2">
        <v>25.29</v>
      </c>
      <c r="E2">
        <v>4.95</v>
      </c>
      <c r="F2">
        <f>D2*E2</f>
        <v>125.1855</v>
      </c>
      <c r="G2">
        <f>D2/E2</f>
        <v>5.1090909090909085</v>
      </c>
      <c r="H2">
        <v>45.275390999999999</v>
      </c>
      <c r="I2">
        <v>8.4062380000000001</v>
      </c>
      <c r="J2">
        <v>25.567003</v>
      </c>
      <c r="K2">
        <v>4.7469999999999999</v>
      </c>
      <c r="L2">
        <f>J2/K2</f>
        <v>5.3859285864756687</v>
      </c>
      <c r="M2">
        <f>ABS(J2-D2)/D2*100</f>
        <v>1.095306445235273</v>
      </c>
      <c r="N2">
        <f>ABS(K2-E2)/E2*100</f>
        <v>4.1010101010101065</v>
      </c>
      <c r="O2">
        <f t="shared" ref="O2:O19" si="0">(ABS(L2-G2)/G2)*100</f>
        <v>5.4185310520148811</v>
      </c>
      <c r="P2">
        <f t="shared" ref="P2:P19" si="1">(F2/C2)*100</f>
        <v>93.143973214285708</v>
      </c>
    </row>
    <row r="3" spans="1:16" x14ac:dyDescent="0.25">
      <c r="A3">
        <v>60</v>
      </c>
      <c r="B3">
        <v>2.4</v>
      </c>
      <c r="C3">
        <f>A3*B3</f>
        <v>144</v>
      </c>
      <c r="D3">
        <v>26.88</v>
      </c>
      <c r="E3">
        <v>5.01</v>
      </c>
      <c r="F3">
        <f>D3*E3</f>
        <v>134.66879999999998</v>
      </c>
      <c r="G3">
        <f>D3/E3</f>
        <v>5.365269461077844</v>
      </c>
      <c r="H3">
        <v>45.267052</v>
      </c>
      <c r="I3">
        <v>7.8778079999999999</v>
      </c>
      <c r="J3">
        <v>27.200571</v>
      </c>
      <c r="K3">
        <v>4.7337049999999996</v>
      </c>
      <c r="L3">
        <f>J3/K3</f>
        <v>5.746148313002184</v>
      </c>
      <c r="M3">
        <f>ABS(J3-D3)/D3*100</f>
        <v>1.1926004464285755</v>
      </c>
      <c r="N3">
        <f>ABS(K3-E3)/E3*100</f>
        <v>5.5148702594810413</v>
      </c>
      <c r="O3">
        <f t="shared" ref="O3" si="2">(ABS(L3-G3)/G3)*100</f>
        <v>7.098969673143392</v>
      </c>
      <c r="P3">
        <f t="shared" ref="P3" si="3">(F3/C3)*100</f>
        <v>93.519999999999982</v>
      </c>
    </row>
    <row r="4" spans="1:16" x14ac:dyDescent="0.25">
      <c r="A4">
        <v>60</v>
      </c>
      <c r="B4">
        <v>2.5099999999999998</v>
      </c>
      <c r="C4">
        <f t="shared" ref="C4:C16" si="4">A2*B4</f>
        <v>150.6</v>
      </c>
      <c r="D4">
        <v>28.48</v>
      </c>
      <c r="E4">
        <v>4.97</v>
      </c>
      <c r="F4">
        <f>D4*E4</f>
        <v>141.54560000000001</v>
      </c>
      <c r="G4">
        <f>D4/E4</f>
        <v>5.7303822937625757</v>
      </c>
      <c r="H4">
        <v>45.318976999999997</v>
      </c>
      <c r="I4">
        <v>7.3738859999999997</v>
      </c>
      <c r="J4">
        <v>28.811605</v>
      </c>
      <c r="K4">
        <v>4.6879590000000002</v>
      </c>
      <c r="L4">
        <f>J4/K4</f>
        <v>6.1458739293581699</v>
      </c>
      <c r="M4">
        <f t="shared" ref="M4:M19" si="5">ABS(J4-D4)/D4*100</f>
        <v>1.1643433988764034</v>
      </c>
      <c r="N4">
        <f t="shared" ref="N4:N19" si="6">ABS(K4-E4)/E4*100</f>
        <v>5.6748692152917419</v>
      </c>
      <c r="O4">
        <f t="shared" si="0"/>
        <v>7.2506791745439019</v>
      </c>
      <c r="P4">
        <f t="shared" si="1"/>
        <v>93.987782204515284</v>
      </c>
    </row>
    <row r="5" spans="1:16" x14ac:dyDescent="0.25">
      <c r="A5">
        <v>60</v>
      </c>
      <c r="B5">
        <v>2.59</v>
      </c>
      <c r="C5">
        <f t="shared" si="4"/>
        <v>155.39999999999998</v>
      </c>
      <c r="D5">
        <v>30.02</v>
      </c>
      <c r="E5" s="3">
        <v>4.9000000000000004</v>
      </c>
      <c r="F5">
        <f>D5*E5</f>
        <v>147.09800000000001</v>
      </c>
      <c r="G5">
        <f>D5/E5</f>
        <v>6.1265306122448973</v>
      </c>
      <c r="H5">
        <v>45.318756</v>
      </c>
      <c r="I5">
        <v>6.9286459999999996</v>
      </c>
      <c r="J5">
        <v>30.372927000000001</v>
      </c>
      <c r="K5">
        <v>4.643624</v>
      </c>
      <c r="L5">
        <f t="shared" ref="L5:L15" si="7">J5/K5</f>
        <v>6.5407808642560212</v>
      </c>
      <c r="M5">
        <f t="shared" si="5"/>
        <v>1.175639573617592</v>
      </c>
      <c r="N5">
        <f t="shared" si="6"/>
        <v>5.2321632653061299</v>
      </c>
      <c r="O5">
        <f t="shared" si="0"/>
        <v>6.7615797296952289</v>
      </c>
      <c r="P5">
        <f t="shared" si="1"/>
        <v>94.65765765765768</v>
      </c>
    </row>
    <row r="6" spans="1:16" x14ac:dyDescent="0.25">
      <c r="A6">
        <v>60</v>
      </c>
      <c r="B6">
        <v>2.66</v>
      </c>
      <c r="C6">
        <f t="shared" si="4"/>
        <v>159.60000000000002</v>
      </c>
      <c r="D6">
        <v>31.94</v>
      </c>
      <c r="E6" s="3">
        <v>4.7300000000000004</v>
      </c>
      <c r="F6">
        <f>D6*E6</f>
        <v>151.07620000000003</v>
      </c>
      <c r="G6">
        <f>D6/E6</f>
        <v>6.7526427061310779</v>
      </c>
      <c r="H6">
        <v>45.338726000000001</v>
      </c>
      <c r="I6">
        <v>6.3303380000000002</v>
      </c>
      <c r="J6">
        <v>32.341830999999999</v>
      </c>
      <c r="K6">
        <v>4.5156700000000001</v>
      </c>
      <c r="L6">
        <f t="shared" ref="L6" si="8">J6/K6</f>
        <v>7.1621334154178671</v>
      </c>
      <c r="M6">
        <f t="shared" si="5"/>
        <v>1.2580807764558479</v>
      </c>
      <c r="N6">
        <f t="shared" si="6"/>
        <v>4.5312896405919734</v>
      </c>
      <c r="O6">
        <f t="shared" si="0"/>
        <v>6.0641548369646623</v>
      </c>
      <c r="P6">
        <f t="shared" si="1"/>
        <v>94.659273182957392</v>
      </c>
    </row>
    <row r="7" spans="1:16" x14ac:dyDescent="0.25">
      <c r="A7">
        <v>60</v>
      </c>
      <c r="B7">
        <v>2.68</v>
      </c>
      <c r="C7">
        <f t="shared" si="4"/>
        <v>160.80000000000001</v>
      </c>
      <c r="D7">
        <v>33.76</v>
      </c>
      <c r="E7">
        <v>4.55</v>
      </c>
      <c r="F7">
        <f t="shared" ref="F7" si="9">D7*E7</f>
        <v>153.60799999999998</v>
      </c>
      <c r="G7">
        <f t="shared" ref="G7" si="10">D7/E7</f>
        <v>7.4197802197802201</v>
      </c>
      <c r="H7">
        <v>45.339798000000002</v>
      </c>
      <c r="I7">
        <v>5.8044950000000002</v>
      </c>
      <c r="J7">
        <v>34.139899999999997</v>
      </c>
      <c r="K7">
        <v>4.3706610000000001</v>
      </c>
      <c r="L7">
        <f t="shared" si="7"/>
        <v>7.8111525922509193</v>
      </c>
      <c r="M7">
        <f t="shared" si="5"/>
        <v>1.1252962085308036</v>
      </c>
      <c r="N7">
        <f t="shared" si="6"/>
        <v>3.9415164835164767</v>
      </c>
      <c r="O7">
        <f t="shared" si="0"/>
        <v>5.2747165128604303</v>
      </c>
      <c r="P7">
        <f t="shared" si="1"/>
        <v>95.52736318407959</v>
      </c>
    </row>
    <row r="8" spans="1:16" x14ac:dyDescent="0.25">
      <c r="A8">
        <v>60</v>
      </c>
      <c r="B8">
        <v>2.5299999999999998</v>
      </c>
      <c r="C8">
        <f t="shared" si="4"/>
        <v>151.79999999999998</v>
      </c>
      <c r="D8">
        <v>36.03</v>
      </c>
      <c r="E8">
        <v>4.01</v>
      </c>
      <c r="F8">
        <f>D8*E8</f>
        <v>144.4803</v>
      </c>
      <c r="G8">
        <f t="shared" ref="G8:G12" si="11">D8/E8</f>
        <v>8.9850374064837908</v>
      </c>
      <c r="H8">
        <v>45.374961999999996</v>
      </c>
      <c r="I8">
        <v>4.8610220000000002</v>
      </c>
      <c r="J8">
        <v>36.391036999999997</v>
      </c>
      <c r="K8">
        <v>3.898574</v>
      </c>
      <c r="L8">
        <f t="shared" si="7"/>
        <v>9.3344481854134358</v>
      </c>
      <c r="M8">
        <f t="shared" si="5"/>
        <v>1.0020455176241911</v>
      </c>
      <c r="N8">
        <f t="shared" si="6"/>
        <v>2.7787032418952569</v>
      </c>
      <c r="O8">
        <f t="shared" si="0"/>
        <v>3.8888071704354052</v>
      </c>
      <c r="P8">
        <f t="shared" si="1"/>
        <v>95.178063241106727</v>
      </c>
    </row>
    <row r="9" spans="1:16" x14ac:dyDescent="0.25">
      <c r="A9">
        <v>60</v>
      </c>
      <c r="B9">
        <v>2.34</v>
      </c>
      <c r="C9">
        <f t="shared" ref="C9" si="12">A7*B9</f>
        <v>140.39999999999998</v>
      </c>
      <c r="D9">
        <v>38.380000000000003</v>
      </c>
      <c r="E9">
        <v>3.47</v>
      </c>
      <c r="F9">
        <f>D9*E9</f>
        <v>133.17860000000002</v>
      </c>
      <c r="G9">
        <f t="shared" ref="G9" si="13">D9/E9</f>
        <v>11.060518731988473</v>
      </c>
      <c r="H9">
        <v>45.385956</v>
      </c>
      <c r="I9">
        <v>3.9904039999999998</v>
      </c>
      <c r="J9">
        <v>38.724978999999998</v>
      </c>
      <c r="K9">
        <v>3.4047610000000001</v>
      </c>
      <c r="L9">
        <f t="shared" ref="L9" si="14">J9/K9</f>
        <v>11.373773078345293</v>
      </c>
      <c r="M9">
        <f t="shared" ref="M9" si="15">ABS(J9-D9)/D9*100</f>
        <v>0.89885096404375975</v>
      </c>
      <c r="N9">
        <f t="shared" ref="N9" si="16">ABS(K9-E9)/E9*100</f>
        <v>1.8800864553314134</v>
      </c>
      <c r="O9">
        <f t="shared" ref="O9" si="17">(ABS(L9-G9)/G9)*100</f>
        <v>2.8321849449144425</v>
      </c>
      <c r="P9">
        <f t="shared" ref="P9" si="18">(F9/C9)*100</f>
        <v>94.856552706552733</v>
      </c>
    </row>
    <row r="10" spans="1:16" x14ac:dyDescent="0.25">
      <c r="A10">
        <v>60</v>
      </c>
      <c r="B10">
        <v>1.93</v>
      </c>
      <c r="C10">
        <f t="shared" si="4"/>
        <v>115.8</v>
      </c>
      <c r="D10">
        <v>39.700000000000003</v>
      </c>
      <c r="E10">
        <v>2.77</v>
      </c>
      <c r="F10">
        <f>D10*E10</f>
        <v>109.96900000000001</v>
      </c>
      <c r="G10">
        <f>D10/E10</f>
        <v>14.332129963898918</v>
      </c>
      <c r="H10" s="4">
        <v>45.385956</v>
      </c>
      <c r="I10">
        <v>3.1321789999999998</v>
      </c>
      <c r="J10">
        <v>40.008648000000001</v>
      </c>
      <c r="K10">
        <v>2.7598690000000001</v>
      </c>
      <c r="L10">
        <f>J10/K10</f>
        <v>14.496575018596896</v>
      </c>
      <c r="M10">
        <f>ABS(J10-D10)/D10*100</f>
        <v>0.77745088161208564</v>
      </c>
      <c r="N10">
        <f t="shared" si="6"/>
        <v>0.36574007220216209</v>
      </c>
      <c r="O10">
        <f t="shared" si="0"/>
        <v>1.1473874093536522</v>
      </c>
      <c r="P10">
        <f t="shared" si="1"/>
        <v>94.964594127806564</v>
      </c>
    </row>
    <row r="11" spans="1:16" x14ac:dyDescent="0.25">
      <c r="A11">
        <v>60</v>
      </c>
      <c r="B11">
        <v>1.48</v>
      </c>
      <c r="C11">
        <f t="shared" si="4"/>
        <v>88.8</v>
      </c>
      <c r="D11">
        <v>40.98</v>
      </c>
      <c r="E11">
        <v>2.02</v>
      </c>
      <c r="F11">
        <f>D11*E11</f>
        <v>82.779599999999988</v>
      </c>
      <c r="G11">
        <f t="shared" si="11"/>
        <v>20.287128712871286</v>
      </c>
      <c r="H11">
        <v>45.413887000000003</v>
      </c>
      <c r="I11">
        <v>2.2937829999999999</v>
      </c>
      <c r="J11">
        <v>41.242683</v>
      </c>
      <c r="K11">
        <v>2.0831019999999998</v>
      </c>
      <c r="L11">
        <f t="shared" si="7"/>
        <v>19.798686286125214</v>
      </c>
      <c r="M11">
        <f t="shared" si="5"/>
        <v>0.64100292825769323</v>
      </c>
      <c r="N11">
        <f t="shared" si="6"/>
        <v>3.1238613861386022</v>
      </c>
      <c r="O11">
        <f t="shared" si="0"/>
        <v>2.407646905873758</v>
      </c>
      <c r="P11">
        <f t="shared" si="1"/>
        <v>93.220270270270262</v>
      </c>
    </row>
    <row r="12" spans="1:16" x14ac:dyDescent="0.25">
      <c r="A12">
        <v>60</v>
      </c>
      <c r="B12">
        <v>0.62</v>
      </c>
      <c r="C12">
        <f t="shared" si="4"/>
        <v>37.200000000000003</v>
      </c>
      <c r="D12">
        <v>42.19</v>
      </c>
      <c r="E12">
        <v>0.78</v>
      </c>
      <c r="F12">
        <f>D12*E12</f>
        <v>32.908200000000001</v>
      </c>
      <c r="G12">
        <f t="shared" si="11"/>
        <v>54.089743589743584</v>
      </c>
      <c r="H12">
        <v>45.418900000000001</v>
      </c>
      <c r="I12">
        <v>1.05701</v>
      </c>
      <c r="J12">
        <v>42.378608999999997</v>
      </c>
      <c r="K12">
        <v>0.98625499999999999</v>
      </c>
      <c r="L12">
        <f t="shared" si="7"/>
        <v>42.969220941845663</v>
      </c>
      <c r="M12">
        <f t="shared" si="5"/>
        <v>0.4470466935292714</v>
      </c>
      <c r="N12">
        <f t="shared" si="6"/>
        <v>26.44294871794871</v>
      </c>
      <c r="O12">
        <f t="shared" si="0"/>
        <v>20.559392427969613</v>
      </c>
      <c r="P12">
        <f t="shared" si="1"/>
        <v>88.462903225806443</v>
      </c>
    </row>
    <row r="13" spans="1:16" x14ac:dyDescent="0.25">
      <c r="A13">
        <v>60</v>
      </c>
      <c r="B13">
        <v>0.17</v>
      </c>
      <c r="C13">
        <f t="shared" si="4"/>
        <v>10.200000000000001</v>
      </c>
      <c r="D13">
        <v>42.84</v>
      </c>
      <c r="E13">
        <v>0.1</v>
      </c>
      <c r="F13">
        <f t="shared" ref="F13:F14" si="19">D13*E13</f>
        <v>4.2840000000000007</v>
      </c>
      <c r="G13">
        <f>D13/E13</f>
        <v>428.40000000000003</v>
      </c>
      <c r="H13">
        <v>45.421683999999999</v>
      </c>
      <c r="I13">
        <v>0.41412500000000002</v>
      </c>
      <c r="J13">
        <v>42.994045</v>
      </c>
      <c r="K13">
        <v>0.39199099999999998</v>
      </c>
      <c r="L13">
        <f t="shared" si="7"/>
        <v>109.68120441540751</v>
      </c>
      <c r="M13">
        <f t="shared" si="5"/>
        <v>0.35958216619980493</v>
      </c>
      <c r="N13">
        <f t="shared" si="6"/>
        <v>291.99099999999999</v>
      </c>
      <c r="O13">
        <f t="shared" si="0"/>
        <v>74.397477960922615</v>
      </c>
      <c r="P13">
        <f t="shared" si="1"/>
        <v>42.000000000000007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Ceolin De Brito (Student at CentraleSupelec)</dc:creator>
  <cp:lastModifiedBy>Gabriel Ceolin De Brito (Student at CentraleSupelec)</cp:lastModifiedBy>
  <dcterms:created xsi:type="dcterms:W3CDTF">2025-05-16T10:23:07Z</dcterms:created>
  <dcterms:modified xsi:type="dcterms:W3CDTF">2026-01-29T18:25:44Z</dcterms:modified>
</cp:coreProperties>
</file>